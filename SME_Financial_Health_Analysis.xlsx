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rananand/Desktop/Project2 /"/>
    </mc:Choice>
  </mc:AlternateContent>
  <xr:revisionPtr revIDLastSave="0" documentId="13_ncr:1_{BEDC74AB-E1AB-AE40-9906-62F111A16520}" xr6:coauthVersionLast="47" xr6:coauthVersionMax="47" xr10:uidLastSave="{00000000-0000-0000-0000-000000000000}"/>
  <bookViews>
    <workbookView xWindow="0" yWindow="0" windowWidth="28800" windowHeight="18000" activeTab="3" xr2:uid="{2F5A8B27-337B-8841-A224-15EB7F22505D}"/>
  </bookViews>
  <sheets>
    <sheet name="Data" sheetId="5" r:id="rId1"/>
    <sheet name="Summary" sheetId="2" r:id="rId2"/>
    <sheet name="Trends" sheetId="3" r:id="rId3"/>
    <sheet name="Stress_Indicators" sheetId="4" r:id="rId4"/>
  </sheets>
  <definedNames>
    <definedName name="_xlchart.v2.0" hidden="1">Stress_Indicators!$A$19:$A$21</definedName>
    <definedName name="_xlchart.v2.1" hidden="1">Stress_Indicators!$B$18</definedName>
    <definedName name="_xlchart.v2.10" hidden="1">Stress_Indicators!$B$18:$D$18</definedName>
    <definedName name="_xlchart.v2.11" hidden="1">Stress_Indicators!$B$19:$D$19</definedName>
    <definedName name="_xlchart.v2.12" hidden="1">Stress_Indicators!$B$20:$D$20</definedName>
    <definedName name="_xlchart.v2.13" hidden="1">Stress_Indicators!$B$21:$D$21</definedName>
    <definedName name="_xlchart.v2.2" hidden="1">Stress_Indicators!$B$19:$B$21</definedName>
    <definedName name="_xlchart.v2.3" hidden="1">Stress_Indicators!$C$18</definedName>
    <definedName name="_xlchart.v2.4" hidden="1">Stress_Indicators!$C$19:$C$21</definedName>
    <definedName name="_xlchart.v2.5" hidden="1">Stress_Indicators!$D$18</definedName>
    <definedName name="_xlchart.v2.6" hidden="1">Stress_Indicators!$D$19:$D$21</definedName>
    <definedName name="_xlchart.v2.7" hidden="1">Stress_Indicators!$A$19</definedName>
    <definedName name="_xlchart.v2.8" hidden="1">Stress_Indicators!$A$20</definedName>
    <definedName name="_xlchart.v2.9" hidden="1">Stress_Indicators!$A$21</definedName>
    <definedName name="ExternalData_1" localSheetId="0" hidden="1">Data!$A$1:$N$49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E52608-7395-9142-926C-156BF4BAE4F4}" keepAlive="1" name="Query - SME_Sector_Financial_Clean" description="Connection to the 'SME_Sector_Financial_Clean' query in the workbook." type="5" refreshedVersion="8" background="1" saveData="1">
    <dbPr connection="Provider=Microsoft.Mashup.OleDb.1;Data Source=$Workbook$;Location=SME_Sector_Financial_Clean;Extended Properties=&quot;&quot;" command="SELECT * FROM [SME_Sector_Financial_Clean]"/>
  </connection>
</connections>
</file>

<file path=xl/sharedStrings.xml><?xml version="1.0" encoding="utf-8"?>
<sst xmlns="http://schemas.openxmlformats.org/spreadsheetml/2006/main" count="164" uniqueCount="38">
  <si>
    <t>Sector</t>
  </si>
  <si>
    <t>SIC</t>
  </si>
  <si>
    <t>Year</t>
  </si>
  <si>
    <t>Num_Enterprises</t>
  </si>
  <si>
    <t>Total_Turnover_GBPm</t>
  </si>
  <si>
    <t>aGVA_GBPm</t>
  </si>
  <si>
    <t>Total_Purchases_GBPm</t>
  </si>
  <si>
    <t>Employment_Costs_GBPm</t>
  </si>
  <si>
    <t>CapEx_Acquisitions_GBPm</t>
  </si>
  <si>
    <t>Gross_Profit_GBPm</t>
  </si>
  <si>
    <t>Gross_Margin_Pct</t>
  </si>
  <si>
    <t>Cost_Ratio</t>
  </si>
  <si>
    <t>Labour_Intensity</t>
  </si>
  <si>
    <t>CapEx_Ratio</t>
  </si>
  <si>
    <t>Construction</t>
  </si>
  <si>
    <t>F</t>
  </si>
  <si>
    <t>Retail</t>
  </si>
  <si>
    <t>47</t>
  </si>
  <si>
    <t>Hospitality</t>
  </si>
  <si>
    <t>I</t>
  </si>
  <si>
    <t>Total Turnover (£m)</t>
  </si>
  <si>
    <t>Gross Margin %</t>
  </si>
  <si>
    <t>Cost Ratio</t>
  </si>
  <si>
    <t>CapEx Ratio</t>
  </si>
  <si>
    <t>Labour Intensity</t>
  </si>
  <si>
    <t>Stress Flag</t>
  </si>
  <si>
    <t>Moderate</t>
  </si>
  <si>
    <t>High</t>
  </si>
  <si>
    <t>Stress Flag Methodology: High = Cost Ratio above 0.75 OR Gross Margin below 25%. Moderate = Cost Ratio 0.60–0.75. Low = Cost Ratio below 0.60.</t>
  </si>
  <si>
    <r>
      <t>Key Finding 1:</t>
    </r>
    <r>
      <rPr>
        <sz val="12"/>
        <color theme="1"/>
        <rFont val="Calibri"/>
        <family val="2"/>
        <scheme val="minor"/>
      </rPr>
      <t xml:space="preserve"> Retail shows the highest cost ratio at 0.788 — meaning 78.8p of every £1 revenue goes to purchases, leaving only 21.2p as gross margin. This is the lowest margin of the three sectors.</t>
    </r>
  </si>
  <si>
    <r>
      <t>Key Finding 2:</t>
    </r>
    <r>
      <rPr>
        <sz val="12"/>
        <color theme="1"/>
        <rFont val="Calibri"/>
        <family val="2"/>
        <scheme val="minor"/>
      </rPr>
      <t xml:space="preserve"> Retail CapEx ratio has declined to 0.027 in 2023 from 0.030 in 2022 — suggesting reduced investment which is an early stress signal.</t>
    </r>
  </si>
  <si>
    <r>
      <t>Key Finding 3:</t>
    </r>
    <r>
      <rPr>
        <sz val="12"/>
        <color theme="1"/>
        <rFont val="Calibri"/>
        <family val="2"/>
        <scheme val="minor"/>
      </rPr>
      <t xml:space="preserve"> Hospitality gross margin fell from 51.15% in 2022 to 50.05% in 2023 — a 1.1 percentage point decline driven by rising input costs.</t>
    </r>
  </si>
  <si>
    <t>Margin_Flag</t>
  </si>
  <si>
    <t>Cost_Flag</t>
  </si>
  <si>
    <t>CapEx_Flag</t>
  </si>
  <si>
    <t>Total_Stress_Score</t>
  </si>
  <si>
    <t>Stress_Category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</si>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</sst>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3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3" fontId="0" fillId="0" borderId="9" xfId="0" applyNumberFormat="1" applyBorder="1"/>
    <xf numFmtId="0" fontId="0" fillId="0" borderId="10" xfId="0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2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3" xfId="0" applyNumberFormat="1" applyBorder="1"/>
    <xf numFmtId="0" fontId="0" fillId="0" borderId="5" xfId="0" applyNumberFormat="1" applyBorder="1"/>
    <xf numFmtId="0" fontId="0" fillId="0" borderId="8" xfId="0" applyNumberFormat="1" applyBorder="1"/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UK Sector Turnover Trends 2008–2023 (£m)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Trends!$B$1</c:f>
              <c:strCache>
                <c:ptCount val="1"/>
                <c:pt idx="0">
                  <c:v>Construction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Trends!$A$2:$A$17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Trends!$B$2:$B$17</c:f>
              <c:numCache>
                <c:formatCode>General</c:formatCode>
                <c:ptCount val="16"/>
                <c:pt idx="0">
                  <c:v>223399</c:v>
                </c:pt>
                <c:pt idx="1">
                  <c:v>186137</c:v>
                </c:pt>
                <c:pt idx="2">
                  <c:v>182093</c:v>
                </c:pt>
                <c:pt idx="3">
                  <c:v>189467</c:v>
                </c:pt>
                <c:pt idx="4">
                  <c:v>190413</c:v>
                </c:pt>
                <c:pt idx="5">
                  <c:v>198288</c:v>
                </c:pt>
                <c:pt idx="6">
                  <c:v>217699</c:v>
                </c:pt>
                <c:pt idx="7">
                  <c:v>239761</c:v>
                </c:pt>
                <c:pt idx="8">
                  <c:v>251908</c:v>
                </c:pt>
                <c:pt idx="9">
                  <c:v>269379</c:v>
                </c:pt>
                <c:pt idx="10">
                  <c:v>297166</c:v>
                </c:pt>
                <c:pt idx="11">
                  <c:v>306865</c:v>
                </c:pt>
                <c:pt idx="12">
                  <c:v>270561</c:v>
                </c:pt>
                <c:pt idx="13">
                  <c:v>309095</c:v>
                </c:pt>
                <c:pt idx="14">
                  <c:v>348668</c:v>
                </c:pt>
                <c:pt idx="15">
                  <c:v>367977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A-0C46-AC1D-5BFE352EAB28}"/>
            </c:ext>
          </c:extLst>
        </c:ser>
        <c:ser>
          <c:idx val="1"/>
          <c:order val="1"/>
          <c:tx>
            <c:strRef>
              <c:f>Trends!$C$1</c:f>
              <c:strCache>
                <c:ptCount val="1"/>
                <c:pt idx="0">
                  <c:v>Retail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Trends!$A$2:$A$17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Trends!$C$2:$C$17</c:f>
              <c:numCache>
                <c:formatCode>General</c:formatCode>
                <c:ptCount val="16"/>
                <c:pt idx="0">
                  <c:v>311745</c:v>
                </c:pt>
                <c:pt idx="1">
                  <c:v>319318</c:v>
                </c:pt>
                <c:pt idx="2">
                  <c:v>332131</c:v>
                </c:pt>
                <c:pt idx="3">
                  <c:v>342147</c:v>
                </c:pt>
                <c:pt idx="4">
                  <c:v>349327</c:v>
                </c:pt>
                <c:pt idx="5">
                  <c:v>359088</c:v>
                </c:pt>
                <c:pt idx="6">
                  <c:v>371522</c:v>
                </c:pt>
                <c:pt idx="7">
                  <c:v>375289</c:v>
                </c:pt>
                <c:pt idx="8">
                  <c:v>389106</c:v>
                </c:pt>
                <c:pt idx="9">
                  <c:v>404822</c:v>
                </c:pt>
                <c:pt idx="10">
                  <c:v>415408</c:v>
                </c:pt>
                <c:pt idx="11">
                  <c:v>426731</c:v>
                </c:pt>
                <c:pt idx="12">
                  <c:v>416604</c:v>
                </c:pt>
                <c:pt idx="13">
                  <c:v>457637</c:v>
                </c:pt>
                <c:pt idx="14">
                  <c:v>492285</c:v>
                </c:pt>
                <c:pt idx="15">
                  <c:v>508685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A-0C46-AC1D-5BFE352EAB28}"/>
            </c:ext>
          </c:extLst>
        </c:ser>
        <c:ser>
          <c:idx val="2"/>
          <c:order val="2"/>
          <c:tx>
            <c:strRef>
              <c:f>Trends!$D$1</c:f>
              <c:strCache>
                <c:ptCount val="1"/>
                <c:pt idx="0">
                  <c:v>Hospitality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Trends!$A$2:$A$17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Trends!$D$2:$D$17</c:f>
              <c:numCache>
                <c:formatCode>General</c:formatCode>
                <c:ptCount val="16"/>
                <c:pt idx="0">
                  <c:v>67674</c:v>
                </c:pt>
                <c:pt idx="1">
                  <c:v>66195</c:v>
                </c:pt>
                <c:pt idx="2">
                  <c:v>68346</c:v>
                </c:pt>
                <c:pt idx="3">
                  <c:v>72322</c:v>
                </c:pt>
                <c:pt idx="4">
                  <c:v>74355</c:v>
                </c:pt>
                <c:pt idx="5">
                  <c:v>77033</c:v>
                </c:pt>
                <c:pt idx="6">
                  <c:v>81937</c:v>
                </c:pt>
                <c:pt idx="7">
                  <c:v>85526</c:v>
                </c:pt>
                <c:pt idx="8">
                  <c:v>92785</c:v>
                </c:pt>
                <c:pt idx="9">
                  <c:v>98401</c:v>
                </c:pt>
                <c:pt idx="10">
                  <c:v>102624</c:v>
                </c:pt>
                <c:pt idx="11">
                  <c:v>106723</c:v>
                </c:pt>
                <c:pt idx="12">
                  <c:v>69972</c:v>
                </c:pt>
                <c:pt idx="13">
                  <c:v>93248</c:v>
                </c:pt>
                <c:pt idx="14">
                  <c:v>120537</c:v>
                </c:pt>
                <c:pt idx="15">
                  <c:v>131368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7A-0C46-AC1D-5BFE352EA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887552"/>
        <c:axId val="868018400"/>
      </c:lineChart>
      <c:catAx>
        <c:axId val="86788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018400"/>
        <c:crosses val="autoZero"/>
        <c:auto val="1"/>
        <c:lblAlgn val="ctr"/>
        <c:lblOffset val="100"/>
        <c:noMultiLvlLbl val="0"/>
      </c:catAx>
      <c:valAx>
        <c:axId val="86801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88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2023 Financial Health Indicators by Sector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Stress_Indicators!$B$18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Stress_Indicators!$A$19:$A$21</c:f>
              <c:strCache>
                <c:ptCount val="3"/>
                <c:pt idx="0">
                  <c:v>Gross Margin %</c:v>
                </c:pt>
                <c:pt idx="1">
                  <c:v>Cost Ratio</c:v>
                </c:pt>
                <c:pt idx="2">
                  <c:v>CapEx Ratio</c:v>
                </c:pt>
              </c:strCache>
            </c:strRef>
          </c:cat>
          <c:val>
            <c:numRef>
              <c:f>Stress_Indicators!$B$19:$B$21</c:f>
              <c:numCache>
                <c:formatCode>General</c:formatCode>
                <c:ptCount val="3"/>
                <c:pt idx="0">
                  <c:v>38.21</c:v>
                </c:pt>
                <c:pt idx="1">
                  <c:v>0.6179</c:v>
                </c:pt>
                <c:pt idx="2">
                  <c:v>3.8800000000000001E-2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0-3244-8EEB-985632102DD1}"/>
            </c:ext>
          </c:extLst>
        </c:ser>
        <c:ser>
          <c:idx val="1"/>
          <c:order val="1"/>
          <c:tx>
            <c:strRef>
              <c:f>Stress_Indicators!$C$18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Stress_Indicators!$A$19:$A$21</c:f>
              <c:strCache>
                <c:ptCount val="3"/>
                <c:pt idx="0">
                  <c:v>Gross Margin %</c:v>
                </c:pt>
                <c:pt idx="1">
                  <c:v>Cost Ratio</c:v>
                </c:pt>
                <c:pt idx="2">
                  <c:v>CapEx Ratio</c:v>
                </c:pt>
              </c:strCache>
            </c:strRef>
          </c:cat>
          <c:val>
            <c:numRef>
              <c:f>Stress_Indicators!$C$19:$C$21</c:f>
              <c:numCache>
                <c:formatCode>General</c:formatCode>
                <c:ptCount val="3"/>
                <c:pt idx="0">
                  <c:v>21.2</c:v>
                </c:pt>
                <c:pt idx="1">
                  <c:v>0.78800000000000003</c:v>
                </c:pt>
                <c:pt idx="2">
                  <c:v>2.6499999999999999E-2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E0-3244-8EEB-985632102DD1}"/>
            </c:ext>
          </c:extLst>
        </c:ser>
        <c:ser>
          <c:idx val="2"/>
          <c:order val="2"/>
          <c:tx>
            <c:strRef>
              <c:f>Stress_Indicators!$D$18</c:f>
              <c:strCache>
                <c:ptCount val="1"/>
                <c:pt idx="0">
                  <c:v>Hospitality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Stress_Indicators!$A$19:$A$21</c:f>
              <c:strCache>
                <c:ptCount val="3"/>
                <c:pt idx="0">
                  <c:v>Gross Margin %</c:v>
                </c:pt>
                <c:pt idx="1">
                  <c:v>Cost Ratio</c:v>
                </c:pt>
                <c:pt idx="2">
                  <c:v>CapEx Ratio</c:v>
                </c:pt>
              </c:strCache>
            </c:strRef>
          </c:cat>
          <c:val>
            <c:numRef>
              <c:f>Stress_Indicators!$D$19:$D$21</c:f>
              <c:numCache>
                <c:formatCode>General</c:formatCode>
                <c:ptCount val="3"/>
                <c:pt idx="0">
                  <c:v>50.05</c:v>
                </c:pt>
                <c:pt idx="1">
                  <c:v>0.4995</c:v>
                </c:pt>
                <c:pt idx="2">
                  <c:v>6.3E-2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E0-3244-8EEB-985632102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2281647"/>
        <c:axId val="1142427567"/>
      </c:barChart>
      <c:catAx>
        <c:axId val="114228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427567"/>
        <c:crosses val="autoZero"/>
        <c:auto val="1"/>
        <c:lblAlgn val="ctr"/>
        <c:lblOffset val="100"/>
        <c:noMultiLvlLbl val="0"/>
      </c:catAx>
      <c:valAx>
        <c:axId val="114242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28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20</xdr:row>
      <xdr:rowOff>177800</xdr:rowOff>
    </xdr:from>
    <xdr:to>
      <xdr:col>3</xdr:col>
      <xdr:colOff>1238250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8DDB8B-FDA3-1660-9AF4-C6C571363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450850</xdr:colOff>
      <xdr:row>23</xdr:row>
      <xdr:rowOff>50800</xdr:rowOff>
    </xdr:from>
    <xdr:to>
      <xdr:col>5</xdr:col>
      <xdr:colOff>387350</xdr:colOff>
      <xdr:row>36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C439CB-F7A2-521C-76FB-914FF39CC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8D0FEF-01DF-764D-A136-A6B1A78B5D53}" autoFormatId="16" applyNumberFormats="0" applyBorderFormats="0" applyFontFormats="0" applyPatternFormats="0" applyAlignmentFormats="0" applyWidthHeightFormats="0">
  <queryTableRefresh nextId="15">
    <queryTableFields count="14">
      <queryTableField id="1" name="Sector" tableColumnId="1"/>
      <queryTableField id="2" name="SIC" tableColumnId="2"/>
      <queryTableField id="3" name="Year" tableColumnId="3"/>
      <queryTableField id="4" name="Num_Enterprises" tableColumnId="4"/>
      <queryTableField id="5" name="Total_Turnover_GBPm" tableColumnId="5"/>
      <queryTableField id="6" name="aGVA_GBPm" tableColumnId="6"/>
      <queryTableField id="7" name="Total_Purchases_GBPm" tableColumnId="7"/>
      <queryTableField id="8" name="Employment_Costs_GBPm" tableColumnId="8"/>
      <queryTableField id="9" name="CapEx_Acquisitions_GBPm" tableColumnId="9"/>
      <queryTableField id="10" name="Gross_Profit_GBPm" tableColumnId="10"/>
      <queryTableField id="11" name="Gross_Margin_Pct" tableColumnId="11"/>
      <queryTableField id="12" name="Cost_Ratio" tableColumnId="12"/>
      <queryTableField id="13" name="Labour_Intensity" tableColumnId="13"/>
      <queryTableField id="14" name="CapEx_Rati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4D2BD-F4E8-D042-880B-740812B39890}" name="SME_Sector_Financial_Clean" displayName="SME_Sector_Financial_Clean" ref="A1:N49" tableType="queryTable" totalsRowShown="0">
  <autoFilter ref="A1:N49" xr:uid="{A804D2BD-F4E8-D042-880B-740812B39890}">
    <filterColumn colId="2">
      <filters>
        <filter val="2019"/>
        <filter val="2020"/>
        <filter val="2021"/>
        <filter val="2022"/>
        <filter val="2023"/>
      </filters>
    </filterColumn>
  </autoFilter>
  <tableColumns count="14">
    <tableColumn id="1" xr3:uid="{D9BA68A8-4919-0A48-AC14-C1AFDBF0CA7C}" uniqueName="1" name="Sector" queryTableFieldId="1" dataDxfId="7"/>
    <tableColumn id="2" xr3:uid="{81FCBC19-E0FC-7445-A3F4-AC945ACB9904}" uniqueName="2" name="SIC" queryTableFieldId="2" dataDxfId="6"/>
    <tableColumn id="3" xr3:uid="{11381706-11FB-1448-A7AD-5190B26E4A7F}" uniqueName="3" name="Year" queryTableFieldId="3"/>
    <tableColumn id="4" xr3:uid="{B2F0CDE4-0265-2341-B4AA-702377B4F7E2}" uniqueName="4" name="Num_Enterprises" queryTableFieldId="4"/>
    <tableColumn id="5" xr3:uid="{FF7B5B9F-DA5A-2441-AF86-448BE30EB434}" uniqueName="5" name="Total_Turnover_GBPm" queryTableFieldId="5"/>
    <tableColumn id="6" xr3:uid="{D3EB16F7-4979-DE4A-92CA-2E4E6B70619D}" uniqueName="6" name="aGVA_GBPm" queryTableFieldId="6"/>
    <tableColumn id="7" xr3:uid="{1EE23707-4804-4E45-9205-57BE7BE006BC}" uniqueName="7" name="Total_Purchases_GBPm" queryTableFieldId="7"/>
    <tableColumn id="8" xr3:uid="{5BA8B5B0-F4A4-0F42-9EF0-025E38FD8A6D}" uniqueName="8" name="Employment_Costs_GBPm" queryTableFieldId="8"/>
    <tableColumn id="9" xr3:uid="{24752019-7F4F-9B4A-90BA-2B6261195DD8}" uniqueName="9" name="CapEx_Acquisitions_GBPm" queryTableFieldId="9"/>
    <tableColumn id="10" xr3:uid="{37C886E2-B2F8-F247-A446-552B39E37232}" uniqueName="10" name="Gross_Profit_GBPm" queryTableFieldId="10"/>
    <tableColumn id="11" xr3:uid="{17E93D68-EF6F-7C44-B33E-79A3A0B095C2}" uniqueName="11" name="Gross_Margin_Pct" queryTableFieldId="11"/>
    <tableColumn id="12" xr3:uid="{7DFBDE5D-0A86-C54B-A544-FB60BD30FC78}" uniqueName="12" name="Cost_Ratio" queryTableFieldId="12"/>
    <tableColumn id="13" xr3:uid="{6E4E041F-3FBE-5D48-BCA4-2F1646F983BC}" uniqueName="13" name="Labour_Intensity" queryTableFieldId="13"/>
    <tableColumn id="14" xr3:uid="{E8D4CF0E-0A2D-DA4A-BBBC-5F51A7F5FC5D}" uniqueName="14" name="CapEx_Ratio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A251-EF4D-3E40-8E68-F90ED7B26413}">
  <dimension ref="A1:N49"/>
  <sheetViews>
    <sheetView zoomScale="90" zoomScaleNormal="90" workbookViewId="0">
      <selection activeCell="N1" activeCellId="4" sqref="A1:A1048576 C1:C1048576 K1:K1048576 L1:L1048576 N1:N1048576"/>
    </sheetView>
  </sheetViews>
  <sheetFormatPr baseColWidth="10" defaultRowHeight="16" x14ac:dyDescent="0.2"/>
  <cols>
    <col min="1" max="1" width="11.33203125" bestFit="1" customWidth="1"/>
    <col min="2" max="2" width="6.1640625" bestFit="1" customWidth="1"/>
    <col min="3" max="3" width="7.33203125" bestFit="1" customWidth="1"/>
    <col min="4" max="4" width="17.83203125" bestFit="1" customWidth="1"/>
    <col min="5" max="5" width="22.5" bestFit="1" customWidth="1"/>
    <col min="6" max="6" width="14.5" bestFit="1" customWidth="1"/>
    <col min="7" max="7" width="23.33203125" bestFit="1" customWidth="1"/>
    <col min="8" max="9" width="26" bestFit="1" customWidth="1"/>
    <col min="10" max="10" width="20.1640625" bestFit="1" customWidth="1"/>
    <col min="11" max="11" width="18.83203125" bestFit="1" customWidth="1"/>
    <col min="12" max="12" width="12.5" bestFit="1" customWidth="1"/>
    <col min="13" max="13" width="17.33203125" bestFit="1" customWidth="1"/>
    <col min="14" max="14" width="14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">
      <c r="A2" s="1" t="s">
        <v>14</v>
      </c>
      <c r="B2" s="1" t="s">
        <v>15</v>
      </c>
      <c r="C2">
        <v>2008</v>
      </c>
      <c r="D2">
        <v>292768</v>
      </c>
      <c r="E2">
        <v>223399</v>
      </c>
      <c r="F2">
        <v>84812</v>
      </c>
      <c r="G2">
        <v>137768</v>
      </c>
      <c r="H2">
        <v>39969</v>
      </c>
      <c r="I2">
        <v>11979</v>
      </c>
      <c r="J2">
        <v>85631</v>
      </c>
      <c r="K2">
        <v>38.33</v>
      </c>
      <c r="L2">
        <v>0.61670000000000003</v>
      </c>
      <c r="M2">
        <v>0.4713</v>
      </c>
      <c r="N2">
        <v>5.3600000000000002E-2</v>
      </c>
    </row>
    <row r="3" spans="1:14" hidden="1" x14ac:dyDescent="0.2">
      <c r="A3" s="1" t="s">
        <v>14</v>
      </c>
      <c r="B3" s="1" t="s">
        <v>15</v>
      </c>
      <c r="C3">
        <v>2009</v>
      </c>
      <c r="D3">
        <v>275928</v>
      </c>
      <c r="E3">
        <v>186137</v>
      </c>
      <c r="F3">
        <v>68885</v>
      </c>
      <c r="G3">
        <v>113660</v>
      </c>
      <c r="H3">
        <v>35888</v>
      </c>
      <c r="I3">
        <v>6604</v>
      </c>
      <c r="J3">
        <v>72477</v>
      </c>
      <c r="K3">
        <v>38.94</v>
      </c>
      <c r="L3">
        <v>0.61060000000000003</v>
      </c>
      <c r="M3">
        <v>0.52100000000000002</v>
      </c>
      <c r="N3">
        <v>3.5499999999999997E-2</v>
      </c>
    </row>
    <row r="4" spans="1:14" hidden="1" x14ac:dyDescent="0.2">
      <c r="A4" s="1" t="s">
        <v>14</v>
      </c>
      <c r="B4" s="1" t="s">
        <v>15</v>
      </c>
      <c r="C4">
        <v>2010</v>
      </c>
      <c r="D4">
        <v>265282</v>
      </c>
      <c r="E4">
        <v>182093</v>
      </c>
      <c r="F4">
        <v>67359</v>
      </c>
      <c r="G4">
        <v>111511</v>
      </c>
      <c r="H4">
        <v>35612</v>
      </c>
      <c r="I4">
        <v>6993</v>
      </c>
      <c r="J4">
        <v>70582</v>
      </c>
      <c r="K4">
        <v>38.76</v>
      </c>
      <c r="L4">
        <v>0.61240000000000006</v>
      </c>
      <c r="M4">
        <v>0.52869999999999995</v>
      </c>
      <c r="N4">
        <v>3.8399999999999997E-2</v>
      </c>
    </row>
    <row r="5" spans="1:14" hidden="1" x14ac:dyDescent="0.2">
      <c r="A5" s="1" t="s">
        <v>14</v>
      </c>
      <c r="B5" s="1" t="s">
        <v>15</v>
      </c>
      <c r="C5">
        <v>2011</v>
      </c>
      <c r="D5">
        <v>265215</v>
      </c>
      <c r="E5">
        <v>189467</v>
      </c>
      <c r="F5">
        <v>70150</v>
      </c>
      <c r="G5">
        <v>119168</v>
      </c>
      <c r="H5">
        <v>35460</v>
      </c>
      <c r="I5">
        <v>11227</v>
      </c>
      <c r="J5">
        <v>70299</v>
      </c>
      <c r="K5">
        <v>37.1</v>
      </c>
      <c r="L5">
        <v>0.629</v>
      </c>
      <c r="M5">
        <v>0.50549999999999995</v>
      </c>
      <c r="N5">
        <v>5.9299999999999999E-2</v>
      </c>
    </row>
    <row r="6" spans="1:14" hidden="1" x14ac:dyDescent="0.2">
      <c r="A6" s="1" t="s">
        <v>14</v>
      </c>
      <c r="B6" s="1" t="s">
        <v>15</v>
      </c>
      <c r="C6">
        <v>2012</v>
      </c>
      <c r="D6">
        <v>257106</v>
      </c>
      <c r="E6">
        <v>190413</v>
      </c>
      <c r="F6">
        <v>73807</v>
      </c>
      <c r="G6">
        <v>116829</v>
      </c>
      <c r="H6">
        <v>34182</v>
      </c>
      <c r="I6">
        <v>9346</v>
      </c>
      <c r="J6">
        <v>73584</v>
      </c>
      <c r="K6">
        <v>38.64</v>
      </c>
      <c r="L6">
        <v>0.61360000000000003</v>
      </c>
      <c r="M6">
        <v>0.46310000000000001</v>
      </c>
      <c r="N6">
        <v>4.9099999999999998E-2</v>
      </c>
    </row>
    <row r="7" spans="1:14" hidden="1" x14ac:dyDescent="0.2">
      <c r="A7" s="1" t="s">
        <v>14</v>
      </c>
      <c r="B7" s="1" t="s">
        <v>15</v>
      </c>
      <c r="C7">
        <v>2013</v>
      </c>
      <c r="D7">
        <v>262512</v>
      </c>
      <c r="E7">
        <v>198288</v>
      </c>
      <c r="F7">
        <v>77607</v>
      </c>
      <c r="G7">
        <v>121587</v>
      </c>
      <c r="H7">
        <v>34530</v>
      </c>
      <c r="I7">
        <v>10494</v>
      </c>
      <c r="J7">
        <v>76701</v>
      </c>
      <c r="K7">
        <v>38.68</v>
      </c>
      <c r="L7">
        <v>0.61319999999999997</v>
      </c>
      <c r="M7">
        <v>0.44490000000000002</v>
      </c>
      <c r="N7">
        <v>5.2900000000000003E-2</v>
      </c>
    </row>
    <row r="8" spans="1:14" hidden="1" x14ac:dyDescent="0.2">
      <c r="A8" s="1" t="s">
        <v>14</v>
      </c>
      <c r="B8" s="1" t="s">
        <v>15</v>
      </c>
      <c r="C8">
        <v>2014</v>
      </c>
      <c r="D8">
        <v>270600</v>
      </c>
      <c r="E8">
        <v>217699</v>
      </c>
      <c r="F8">
        <v>84587</v>
      </c>
      <c r="G8">
        <v>136696</v>
      </c>
      <c r="H8">
        <v>37146</v>
      </c>
      <c r="I8">
        <v>16747</v>
      </c>
      <c r="J8">
        <v>81003</v>
      </c>
      <c r="K8">
        <v>37.21</v>
      </c>
      <c r="L8">
        <v>0.62790000000000001</v>
      </c>
      <c r="M8">
        <v>0.43909999999999999</v>
      </c>
      <c r="N8">
        <v>7.6899999999999996E-2</v>
      </c>
    </row>
    <row r="9" spans="1:14" hidden="1" x14ac:dyDescent="0.2">
      <c r="A9" s="1" t="s">
        <v>14</v>
      </c>
      <c r="B9" s="1" t="s">
        <v>15</v>
      </c>
      <c r="C9">
        <v>2015</v>
      </c>
      <c r="D9">
        <v>290874</v>
      </c>
      <c r="E9">
        <v>239761</v>
      </c>
      <c r="F9">
        <v>92537</v>
      </c>
      <c r="G9">
        <v>151504</v>
      </c>
      <c r="H9">
        <v>37914</v>
      </c>
      <c r="I9">
        <v>15420</v>
      </c>
      <c r="J9">
        <v>88257</v>
      </c>
      <c r="K9">
        <v>36.81</v>
      </c>
      <c r="L9">
        <v>0.63190000000000002</v>
      </c>
      <c r="M9">
        <v>0.40970000000000001</v>
      </c>
      <c r="N9">
        <v>6.4299999999999996E-2</v>
      </c>
    </row>
    <row r="10" spans="1:14" hidden="1" x14ac:dyDescent="0.2">
      <c r="A10" s="1" t="s">
        <v>14</v>
      </c>
      <c r="B10" s="1" t="s">
        <v>15</v>
      </c>
      <c r="C10">
        <v>2016</v>
      </c>
      <c r="D10">
        <v>314887</v>
      </c>
      <c r="E10">
        <v>251908</v>
      </c>
      <c r="F10">
        <v>97609</v>
      </c>
      <c r="G10">
        <v>155353</v>
      </c>
      <c r="H10">
        <v>38811</v>
      </c>
      <c r="I10">
        <v>14531</v>
      </c>
      <c r="J10">
        <v>96555</v>
      </c>
      <c r="K10">
        <v>38.33</v>
      </c>
      <c r="L10">
        <v>0.61670000000000003</v>
      </c>
      <c r="M10">
        <v>0.39760000000000001</v>
      </c>
      <c r="N10">
        <v>5.7700000000000001E-2</v>
      </c>
    </row>
    <row r="11" spans="1:14" hidden="1" x14ac:dyDescent="0.2">
      <c r="A11" s="1" t="s">
        <v>14</v>
      </c>
      <c r="B11" s="1" t="s">
        <v>15</v>
      </c>
      <c r="C11">
        <v>2017</v>
      </c>
      <c r="D11">
        <v>330620</v>
      </c>
      <c r="E11">
        <v>269379</v>
      </c>
      <c r="F11">
        <v>103828</v>
      </c>
      <c r="G11">
        <v>167420</v>
      </c>
      <c r="H11">
        <v>41169</v>
      </c>
      <c r="I11">
        <v>10999</v>
      </c>
      <c r="J11">
        <v>101959</v>
      </c>
      <c r="K11">
        <v>37.85</v>
      </c>
      <c r="L11">
        <v>0.62150000000000005</v>
      </c>
      <c r="M11">
        <v>0.39650000000000002</v>
      </c>
      <c r="N11">
        <v>4.0800000000000003E-2</v>
      </c>
    </row>
    <row r="12" spans="1:14" hidden="1" x14ac:dyDescent="0.2">
      <c r="A12" s="1" t="s">
        <v>14</v>
      </c>
      <c r="B12" s="1" t="s">
        <v>15</v>
      </c>
      <c r="C12">
        <v>2018</v>
      </c>
      <c r="D12">
        <v>341650</v>
      </c>
      <c r="E12">
        <v>297166</v>
      </c>
      <c r="F12">
        <v>108744</v>
      </c>
      <c r="G12">
        <v>190010</v>
      </c>
      <c r="H12">
        <v>43309</v>
      </c>
      <c r="I12">
        <v>11640</v>
      </c>
      <c r="J12">
        <v>107156</v>
      </c>
      <c r="K12">
        <v>36.06</v>
      </c>
      <c r="L12">
        <v>0.63939999999999997</v>
      </c>
      <c r="M12">
        <v>0.39829999999999999</v>
      </c>
      <c r="N12">
        <v>3.9199999999999999E-2</v>
      </c>
    </row>
    <row r="13" spans="1:14" x14ac:dyDescent="0.2">
      <c r="A13" s="1" t="s">
        <v>14</v>
      </c>
      <c r="B13" s="1" t="s">
        <v>15</v>
      </c>
      <c r="C13">
        <v>2019</v>
      </c>
      <c r="D13">
        <v>348590</v>
      </c>
      <c r="E13">
        <v>306865</v>
      </c>
      <c r="F13">
        <v>111242</v>
      </c>
      <c r="G13">
        <v>197705</v>
      </c>
      <c r="H13">
        <v>45109</v>
      </c>
      <c r="I13">
        <v>14008</v>
      </c>
      <c r="J13">
        <v>109160</v>
      </c>
      <c r="K13">
        <v>35.57</v>
      </c>
      <c r="L13">
        <v>0.64429999999999998</v>
      </c>
      <c r="M13">
        <v>0.40550000000000003</v>
      </c>
      <c r="N13">
        <v>4.5600000000000002E-2</v>
      </c>
    </row>
    <row r="14" spans="1:14" x14ac:dyDescent="0.2">
      <c r="A14" s="1" t="s">
        <v>14</v>
      </c>
      <c r="B14" s="1" t="s">
        <v>15</v>
      </c>
      <c r="C14">
        <v>2020</v>
      </c>
      <c r="D14">
        <v>355876</v>
      </c>
      <c r="E14">
        <v>270561</v>
      </c>
      <c r="F14">
        <v>102790</v>
      </c>
      <c r="G14">
        <v>170481</v>
      </c>
      <c r="H14">
        <v>44727</v>
      </c>
      <c r="I14">
        <v>11648</v>
      </c>
      <c r="J14">
        <v>100080</v>
      </c>
      <c r="K14">
        <v>36.99</v>
      </c>
      <c r="L14">
        <v>0.63009999999999999</v>
      </c>
      <c r="M14">
        <v>0.43509999999999999</v>
      </c>
      <c r="N14">
        <v>4.3099999999999999E-2</v>
      </c>
    </row>
    <row r="15" spans="1:14" x14ac:dyDescent="0.2">
      <c r="A15" s="1" t="s">
        <v>14</v>
      </c>
      <c r="B15" s="1" t="s">
        <v>15</v>
      </c>
      <c r="C15">
        <v>2021</v>
      </c>
      <c r="D15">
        <v>370964</v>
      </c>
      <c r="E15">
        <v>309095</v>
      </c>
      <c r="F15">
        <v>118298</v>
      </c>
      <c r="G15">
        <v>192788</v>
      </c>
      <c r="H15">
        <v>51023</v>
      </c>
      <c r="I15">
        <v>13002</v>
      </c>
      <c r="J15">
        <v>116307</v>
      </c>
      <c r="K15">
        <v>37.630000000000003</v>
      </c>
      <c r="L15">
        <v>0.62370000000000003</v>
      </c>
      <c r="M15">
        <v>0.43130000000000002</v>
      </c>
      <c r="N15">
        <v>4.2099999999999999E-2</v>
      </c>
    </row>
    <row r="16" spans="1:14" x14ac:dyDescent="0.2">
      <c r="A16" s="1" t="s">
        <v>14</v>
      </c>
      <c r="B16" s="1" t="s">
        <v>15</v>
      </c>
      <c r="C16">
        <v>2022</v>
      </c>
      <c r="D16">
        <v>381241</v>
      </c>
      <c r="E16">
        <v>348668</v>
      </c>
      <c r="F16">
        <v>134899</v>
      </c>
      <c r="G16">
        <v>216934</v>
      </c>
      <c r="H16">
        <v>56062</v>
      </c>
      <c r="I16">
        <v>13187</v>
      </c>
      <c r="J16">
        <v>131734</v>
      </c>
      <c r="K16">
        <v>37.78</v>
      </c>
      <c r="L16">
        <v>0.62219999999999998</v>
      </c>
      <c r="M16">
        <v>0.41560000000000002</v>
      </c>
      <c r="N16">
        <v>3.78E-2</v>
      </c>
    </row>
    <row r="17" spans="1:14" x14ac:dyDescent="0.2">
      <c r="A17" s="1" t="s">
        <v>14</v>
      </c>
      <c r="B17" s="1" t="s">
        <v>15</v>
      </c>
      <c r="C17">
        <v>2023</v>
      </c>
      <c r="D17">
        <v>379884</v>
      </c>
      <c r="E17">
        <v>367977</v>
      </c>
      <c r="F17">
        <v>144076</v>
      </c>
      <c r="G17">
        <v>227374</v>
      </c>
      <c r="H17">
        <v>61088</v>
      </c>
      <c r="I17">
        <v>14280</v>
      </c>
      <c r="J17">
        <v>140603</v>
      </c>
      <c r="K17">
        <v>38.21</v>
      </c>
      <c r="L17">
        <v>0.6179</v>
      </c>
      <c r="M17">
        <v>0.42399999999999999</v>
      </c>
      <c r="N17">
        <v>3.8800000000000001E-2</v>
      </c>
    </row>
    <row r="18" spans="1:14" hidden="1" x14ac:dyDescent="0.2">
      <c r="A18" s="1" t="s">
        <v>16</v>
      </c>
      <c r="B18" s="1" t="s">
        <v>17</v>
      </c>
      <c r="C18">
        <v>2008</v>
      </c>
      <c r="D18">
        <v>194677</v>
      </c>
      <c r="E18">
        <v>311745</v>
      </c>
      <c r="F18">
        <v>65123</v>
      </c>
      <c r="G18">
        <v>246237</v>
      </c>
      <c r="H18">
        <v>38466</v>
      </c>
      <c r="I18">
        <v>10495</v>
      </c>
      <c r="J18">
        <v>65508</v>
      </c>
      <c r="K18">
        <v>21.01</v>
      </c>
      <c r="L18">
        <v>0.78990000000000005</v>
      </c>
      <c r="M18">
        <v>0.5907</v>
      </c>
      <c r="N18">
        <v>3.3700000000000001E-2</v>
      </c>
    </row>
    <row r="19" spans="1:14" hidden="1" x14ac:dyDescent="0.2">
      <c r="A19" s="1" t="s">
        <v>16</v>
      </c>
      <c r="B19" s="1" t="s">
        <v>17</v>
      </c>
      <c r="C19">
        <v>2009</v>
      </c>
      <c r="D19">
        <v>187890</v>
      </c>
      <c r="E19">
        <v>319318</v>
      </c>
      <c r="F19">
        <v>69924</v>
      </c>
      <c r="G19">
        <v>249058</v>
      </c>
      <c r="H19">
        <v>38914</v>
      </c>
      <c r="I19">
        <v>9113</v>
      </c>
      <c r="J19">
        <v>70260</v>
      </c>
      <c r="K19">
        <v>22</v>
      </c>
      <c r="L19">
        <v>0.78</v>
      </c>
      <c r="M19">
        <v>0.55649999999999999</v>
      </c>
      <c r="N19">
        <v>2.8500000000000001E-2</v>
      </c>
    </row>
    <row r="20" spans="1:14" hidden="1" x14ac:dyDescent="0.2">
      <c r="A20" s="1" t="s">
        <v>16</v>
      </c>
      <c r="B20" s="1" t="s">
        <v>17</v>
      </c>
      <c r="C20">
        <v>2010</v>
      </c>
      <c r="D20">
        <v>187230</v>
      </c>
      <c r="E20">
        <v>332131</v>
      </c>
      <c r="F20">
        <v>71500</v>
      </c>
      <c r="G20">
        <v>261676</v>
      </c>
      <c r="H20">
        <v>39816</v>
      </c>
      <c r="I20">
        <v>9258</v>
      </c>
      <c r="J20">
        <v>70455</v>
      </c>
      <c r="K20">
        <v>21.21</v>
      </c>
      <c r="L20">
        <v>0.78790000000000004</v>
      </c>
      <c r="M20">
        <v>0.55689999999999995</v>
      </c>
      <c r="N20">
        <v>2.7900000000000001E-2</v>
      </c>
    </row>
    <row r="21" spans="1:14" hidden="1" x14ac:dyDescent="0.2">
      <c r="A21" s="1" t="s">
        <v>16</v>
      </c>
      <c r="B21" s="1" t="s">
        <v>17</v>
      </c>
      <c r="C21">
        <v>2011</v>
      </c>
      <c r="D21">
        <v>189119</v>
      </c>
      <c r="E21">
        <v>342147</v>
      </c>
      <c r="F21">
        <v>70871</v>
      </c>
      <c r="G21">
        <v>271203</v>
      </c>
      <c r="H21">
        <v>41592</v>
      </c>
      <c r="I21">
        <v>10879</v>
      </c>
      <c r="J21">
        <v>70944</v>
      </c>
      <c r="K21">
        <v>20.73</v>
      </c>
      <c r="L21">
        <v>0.79269999999999996</v>
      </c>
      <c r="M21">
        <v>0.58689999999999998</v>
      </c>
      <c r="N21">
        <v>3.1800000000000002E-2</v>
      </c>
    </row>
    <row r="22" spans="1:14" hidden="1" x14ac:dyDescent="0.2">
      <c r="A22" s="1" t="s">
        <v>16</v>
      </c>
      <c r="B22" s="1" t="s">
        <v>17</v>
      </c>
      <c r="C22">
        <v>2012</v>
      </c>
      <c r="D22">
        <v>187616</v>
      </c>
      <c r="E22">
        <v>349327</v>
      </c>
      <c r="F22">
        <v>73876</v>
      </c>
      <c r="G22">
        <v>275052</v>
      </c>
      <c r="H22">
        <v>42184</v>
      </c>
      <c r="I22">
        <v>10789</v>
      </c>
      <c r="J22">
        <v>74275</v>
      </c>
      <c r="K22">
        <v>21.26</v>
      </c>
      <c r="L22">
        <v>0.78739999999999999</v>
      </c>
      <c r="M22">
        <v>0.57099999999999995</v>
      </c>
      <c r="N22">
        <v>3.09E-2</v>
      </c>
    </row>
    <row r="23" spans="1:14" hidden="1" x14ac:dyDescent="0.2">
      <c r="A23" s="1" t="s">
        <v>16</v>
      </c>
      <c r="B23" s="1" t="s">
        <v>17</v>
      </c>
      <c r="C23">
        <v>2013</v>
      </c>
      <c r="D23">
        <v>189828</v>
      </c>
      <c r="E23">
        <v>359088</v>
      </c>
      <c r="F23">
        <v>81368</v>
      </c>
      <c r="G23">
        <v>278326</v>
      </c>
      <c r="H23">
        <v>43441</v>
      </c>
      <c r="I23">
        <v>10627</v>
      </c>
      <c r="J23">
        <v>80762</v>
      </c>
      <c r="K23">
        <v>22.49</v>
      </c>
      <c r="L23">
        <v>0.77510000000000001</v>
      </c>
      <c r="M23">
        <v>0.53390000000000004</v>
      </c>
      <c r="N23">
        <v>2.9600000000000001E-2</v>
      </c>
    </row>
    <row r="24" spans="1:14" hidden="1" x14ac:dyDescent="0.2">
      <c r="A24" s="1" t="s">
        <v>16</v>
      </c>
      <c r="B24" s="1" t="s">
        <v>17</v>
      </c>
      <c r="C24">
        <v>2014</v>
      </c>
      <c r="D24">
        <v>186737</v>
      </c>
      <c r="E24">
        <v>371522</v>
      </c>
      <c r="F24">
        <v>83728</v>
      </c>
      <c r="G24">
        <v>288613</v>
      </c>
      <c r="H24">
        <v>44996</v>
      </c>
      <c r="I24">
        <v>12543</v>
      </c>
      <c r="J24">
        <v>82909</v>
      </c>
      <c r="K24">
        <v>22.32</v>
      </c>
      <c r="L24">
        <v>0.77680000000000005</v>
      </c>
      <c r="M24">
        <v>0.53739999999999999</v>
      </c>
      <c r="N24">
        <v>3.3799999999999997E-2</v>
      </c>
    </row>
    <row r="25" spans="1:14" hidden="1" x14ac:dyDescent="0.2">
      <c r="A25" s="1" t="s">
        <v>16</v>
      </c>
      <c r="B25" s="1" t="s">
        <v>17</v>
      </c>
      <c r="C25">
        <v>2015</v>
      </c>
      <c r="D25">
        <v>186922</v>
      </c>
      <c r="E25">
        <v>375289</v>
      </c>
      <c r="F25">
        <v>85967</v>
      </c>
      <c r="G25">
        <v>290764</v>
      </c>
      <c r="H25">
        <v>47233</v>
      </c>
      <c r="I25">
        <v>12265</v>
      </c>
      <c r="J25">
        <v>84525</v>
      </c>
      <c r="K25">
        <v>22.52</v>
      </c>
      <c r="L25">
        <v>0.77480000000000004</v>
      </c>
      <c r="M25">
        <v>0.5494</v>
      </c>
      <c r="N25">
        <v>3.27E-2</v>
      </c>
    </row>
    <row r="26" spans="1:14" hidden="1" x14ac:dyDescent="0.2">
      <c r="A26" s="1" t="s">
        <v>16</v>
      </c>
      <c r="B26" s="1" t="s">
        <v>17</v>
      </c>
      <c r="C26">
        <v>2016</v>
      </c>
      <c r="D26">
        <v>195501</v>
      </c>
      <c r="E26">
        <v>389106</v>
      </c>
      <c r="F26">
        <v>85051</v>
      </c>
      <c r="G26">
        <v>304566</v>
      </c>
      <c r="H26">
        <v>47803</v>
      </c>
      <c r="I26">
        <v>14149</v>
      </c>
      <c r="J26">
        <v>84540</v>
      </c>
      <c r="K26">
        <v>21.73</v>
      </c>
      <c r="L26">
        <v>0.78269999999999995</v>
      </c>
      <c r="M26">
        <v>0.56210000000000004</v>
      </c>
      <c r="N26">
        <v>3.6400000000000002E-2</v>
      </c>
    </row>
    <row r="27" spans="1:14" hidden="1" x14ac:dyDescent="0.2">
      <c r="A27" s="1" t="s">
        <v>16</v>
      </c>
      <c r="B27" s="1" t="s">
        <v>17</v>
      </c>
      <c r="C27">
        <v>2017</v>
      </c>
      <c r="D27">
        <v>207594</v>
      </c>
      <c r="E27">
        <v>404822</v>
      </c>
      <c r="F27">
        <v>86593</v>
      </c>
      <c r="G27">
        <v>320025</v>
      </c>
      <c r="H27">
        <v>50433</v>
      </c>
      <c r="I27">
        <v>13594</v>
      </c>
      <c r="J27">
        <v>84797</v>
      </c>
      <c r="K27">
        <v>20.95</v>
      </c>
      <c r="L27">
        <v>0.79049999999999998</v>
      </c>
      <c r="M27">
        <v>0.58240000000000003</v>
      </c>
      <c r="N27">
        <v>3.3599999999999998E-2</v>
      </c>
    </row>
    <row r="28" spans="1:14" hidden="1" x14ac:dyDescent="0.2">
      <c r="A28" s="1" t="s">
        <v>16</v>
      </c>
      <c r="B28" s="1" t="s">
        <v>17</v>
      </c>
      <c r="C28">
        <v>2018</v>
      </c>
      <c r="D28">
        <v>219856</v>
      </c>
      <c r="E28">
        <v>415408</v>
      </c>
      <c r="F28">
        <v>89139</v>
      </c>
      <c r="G28">
        <v>327197</v>
      </c>
      <c r="H28">
        <v>50329</v>
      </c>
      <c r="I28">
        <v>12250</v>
      </c>
      <c r="J28">
        <v>88211</v>
      </c>
      <c r="K28">
        <v>21.23</v>
      </c>
      <c r="L28">
        <v>0.78769999999999996</v>
      </c>
      <c r="M28">
        <v>0.56459999999999999</v>
      </c>
      <c r="N28">
        <v>2.9499999999999998E-2</v>
      </c>
    </row>
    <row r="29" spans="1:14" x14ac:dyDescent="0.2">
      <c r="A29" s="1" t="s">
        <v>16</v>
      </c>
      <c r="B29" s="1" t="s">
        <v>17</v>
      </c>
      <c r="C29">
        <v>2019</v>
      </c>
      <c r="D29">
        <v>218299</v>
      </c>
      <c r="E29">
        <v>426731</v>
      </c>
      <c r="F29">
        <v>91868</v>
      </c>
      <c r="G29">
        <v>335619</v>
      </c>
      <c r="H29">
        <v>52538</v>
      </c>
      <c r="I29">
        <v>11982</v>
      </c>
      <c r="J29">
        <v>91112</v>
      </c>
      <c r="K29">
        <v>21.35</v>
      </c>
      <c r="L29">
        <v>0.78649999999999998</v>
      </c>
      <c r="M29">
        <v>0.57189999999999996</v>
      </c>
      <c r="N29">
        <v>2.81E-2</v>
      </c>
    </row>
    <row r="30" spans="1:14" x14ac:dyDescent="0.2">
      <c r="A30" s="1" t="s">
        <v>16</v>
      </c>
      <c r="B30" s="1" t="s">
        <v>17</v>
      </c>
      <c r="C30">
        <v>2020</v>
      </c>
      <c r="D30">
        <v>214629</v>
      </c>
      <c r="E30">
        <v>416604</v>
      </c>
      <c r="F30">
        <v>89416</v>
      </c>
      <c r="G30">
        <v>326986</v>
      </c>
      <c r="H30">
        <v>53148</v>
      </c>
      <c r="I30">
        <v>10706</v>
      </c>
      <c r="J30">
        <v>89618</v>
      </c>
      <c r="K30">
        <v>21.51</v>
      </c>
      <c r="L30">
        <v>0.78490000000000004</v>
      </c>
      <c r="M30">
        <v>0.59440000000000004</v>
      </c>
      <c r="N30">
        <v>2.5700000000000001E-2</v>
      </c>
    </row>
    <row r="31" spans="1:14" x14ac:dyDescent="0.2">
      <c r="A31" s="1" t="s">
        <v>16</v>
      </c>
      <c r="B31" s="1" t="s">
        <v>17</v>
      </c>
      <c r="C31">
        <v>2021</v>
      </c>
      <c r="D31">
        <v>235137</v>
      </c>
      <c r="E31">
        <v>457637</v>
      </c>
      <c r="F31">
        <v>104906</v>
      </c>
      <c r="G31">
        <v>357169</v>
      </c>
      <c r="H31">
        <v>55043</v>
      </c>
      <c r="I31">
        <v>13652</v>
      </c>
      <c r="J31">
        <v>100468</v>
      </c>
      <c r="K31">
        <v>21.95</v>
      </c>
      <c r="L31">
        <v>0.78049999999999997</v>
      </c>
      <c r="M31">
        <v>0.52470000000000006</v>
      </c>
      <c r="N31">
        <v>2.98E-2</v>
      </c>
    </row>
    <row r="32" spans="1:14" x14ac:dyDescent="0.2">
      <c r="A32" s="1" t="s">
        <v>16</v>
      </c>
      <c r="B32" s="1" t="s">
        <v>17</v>
      </c>
      <c r="C32">
        <v>2022</v>
      </c>
      <c r="D32">
        <v>220726</v>
      </c>
      <c r="E32">
        <v>492285</v>
      </c>
      <c r="F32">
        <v>111529</v>
      </c>
      <c r="G32">
        <v>383896</v>
      </c>
      <c r="H32">
        <v>59067</v>
      </c>
      <c r="I32">
        <v>14733</v>
      </c>
      <c r="J32">
        <v>108389</v>
      </c>
      <c r="K32">
        <v>22.02</v>
      </c>
      <c r="L32">
        <v>0.77980000000000005</v>
      </c>
      <c r="M32">
        <v>0.52959999999999996</v>
      </c>
      <c r="N32">
        <v>2.9899999999999999E-2</v>
      </c>
    </row>
    <row r="33" spans="1:14" x14ac:dyDescent="0.2">
      <c r="A33" s="1" t="s">
        <v>16</v>
      </c>
      <c r="B33" s="1" t="s">
        <v>17</v>
      </c>
      <c r="C33">
        <v>2023</v>
      </c>
      <c r="D33">
        <v>215362</v>
      </c>
      <c r="E33">
        <v>508685</v>
      </c>
      <c r="F33">
        <v>107034</v>
      </c>
      <c r="G33">
        <v>400837</v>
      </c>
      <c r="H33">
        <v>63329</v>
      </c>
      <c r="I33">
        <v>13473</v>
      </c>
      <c r="J33">
        <v>107848</v>
      </c>
      <c r="K33">
        <v>21.2</v>
      </c>
      <c r="L33">
        <v>0.78800000000000003</v>
      </c>
      <c r="M33">
        <v>0.5917</v>
      </c>
      <c r="N33">
        <v>2.6499999999999999E-2</v>
      </c>
    </row>
    <row r="34" spans="1:14" hidden="1" x14ac:dyDescent="0.2">
      <c r="A34" s="1" t="s">
        <v>18</v>
      </c>
      <c r="B34" s="1" t="s">
        <v>19</v>
      </c>
      <c r="C34">
        <v>2008</v>
      </c>
      <c r="D34">
        <v>136504</v>
      </c>
      <c r="E34">
        <v>67674</v>
      </c>
      <c r="F34">
        <v>31620</v>
      </c>
      <c r="G34">
        <v>36047</v>
      </c>
      <c r="H34">
        <v>18737</v>
      </c>
      <c r="I34">
        <v>4634</v>
      </c>
      <c r="J34">
        <v>31627</v>
      </c>
      <c r="K34">
        <v>46.73</v>
      </c>
      <c r="L34">
        <v>0.53269999999999995</v>
      </c>
      <c r="M34">
        <v>0.59260000000000002</v>
      </c>
      <c r="N34">
        <v>6.8500000000000005E-2</v>
      </c>
    </row>
    <row r="35" spans="1:14" hidden="1" x14ac:dyDescent="0.2">
      <c r="A35" s="1" t="s">
        <v>18</v>
      </c>
      <c r="B35" s="1" t="s">
        <v>19</v>
      </c>
      <c r="C35">
        <v>2009</v>
      </c>
      <c r="D35">
        <v>129112</v>
      </c>
      <c r="E35">
        <v>66195</v>
      </c>
      <c r="F35">
        <v>29375</v>
      </c>
      <c r="G35">
        <v>36745</v>
      </c>
      <c r="H35">
        <v>19012</v>
      </c>
      <c r="I35">
        <v>3803</v>
      </c>
      <c r="J35">
        <v>29450</v>
      </c>
      <c r="K35">
        <v>44.49</v>
      </c>
      <c r="L35">
        <v>0.55510000000000004</v>
      </c>
      <c r="M35">
        <v>0.6472</v>
      </c>
      <c r="N35">
        <v>5.7500000000000002E-2</v>
      </c>
    </row>
    <row r="36" spans="1:14" hidden="1" x14ac:dyDescent="0.2">
      <c r="A36" s="1" t="s">
        <v>18</v>
      </c>
      <c r="B36" s="1" t="s">
        <v>19</v>
      </c>
      <c r="C36">
        <v>2010</v>
      </c>
      <c r="D36">
        <v>127844</v>
      </c>
      <c r="E36">
        <v>68346</v>
      </c>
      <c r="F36">
        <v>31435</v>
      </c>
      <c r="G36">
        <v>36883</v>
      </c>
      <c r="H36">
        <v>19074</v>
      </c>
      <c r="I36">
        <v>3804</v>
      </c>
      <c r="J36">
        <v>31463</v>
      </c>
      <c r="K36">
        <v>46.03</v>
      </c>
      <c r="L36">
        <v>0.53969999999999996</v>
      </c>
      <c r="M36">
        <v>0.60680000000000001</v>
      </c>
      <c r="N36">
        <v>5.57E-2</v>
      </c>
    </row>
    <row r="37" spans="1:14" hidden="1" x14ac:dyDescent="0.2">
      <c r="A37" s="1" t="s">
        <v>18</v>
      </c>
      <c r="B37" s="1" t="s">
        <v>19</v>
      </c>
      <c r="C37">
        <v>2011</v>
      </c>
      <c r="D37">
        <v>130336</v>
      </c>
      <c r="E37">
        <v>72322</v>
      </c>
      <c r="F37">
        <v>34826</v>
      </c>
      <c r="G37">
        <v>37563</v>
      </c>
      <c r="H37">
        <v>19987</v>
      </c>
      <c r="I37">
        <v>4339</v>
      </c>
      <c r="J37">
        <v>34759</v>
      </c>
      <c r="K37">
        <v>48.06</v>
      </c>
      <c r="L37">
        <v>0.51939999999999997</v>
      </c>
      <c r="M37">
        <v>0.57389999999999997</v>
      </c>
      <c r="N37">
        <v>0.06</v>
      </c>
    </row>
    <row r="38" spans="1:14" hidden="1" x14ac:dyDescent="0.2">
      <c r="A38" s="1" t="s">
        <v>18</v>
      </c>
      <c r="B38" s="1" t="s">
        <v>19</v>
      </c>
      <c r="C38">
        <v>2012</v>
      </c>
      <c r="D38">
        <v>128831</v>
      </c>
      <c r="E38">
        <v>74355</v>
      </c>
      <c r="F38">
        <v>37764</v>
      </c>
      <c r="G38">
        <v>37272</v>
      </c>
      <c r="H38">
        <v>21132</v>
      </c>
      <c r="I38">
        <v>4704</v>
      </c>
      <c r="J38">
        <v>37083</v>
      </c>
      <c r="K38">
        <v>49.87</v>
      </c>
      <c r="L38">
        <v>0.50129999999999997</v>
      </c>
      <c r="M38">
        <v>0.55959999999999999</v>
      </c>
      <c r="N38">
        <v>6.3299999999999995E-2</v>
      </c>
    </row>
    <row r="39" spans="1:14" hidden="1" x14ac:dyDescent="0.2">
      <c r="A39" s="1" t="s">
        <v>18</v>
      </c>
      <c r="B39" s="1" t="s">
        <v>19</v>
      </c>
      <c r="C39">
        <v>2013</v>
      </c>
      <c r="D39">
        <v>131322</v>
      </c>
      <c r="E39">
        <v>77033</v>
      </c>
      <c r="F39">
        <v>38357</v>
      </c>
      <c r="G39">
        <v>38625</v>
      </c>
      <c r="H39">
        <v>21611</v>
      </c>
      <c r="I39">
        <v>4837</v>
      </c>
      <c r="J39">
        <v>38408</v>
      </c>
      <c r="K39">
        <v>49.86</v>
      </c>
      <c r="L39">
        <v>0.50139999999999996</v>
      </c>
      <c r="M39">
        <v>0.56340000000000001</v>
      </c>
      <c r="N39">
        <v>6.2799999999999995E-2</v>
      </c>
    </row>
    <row r="40" spans="1:14" hidden="1" x14ac:dyDescent="0.2">
      <c r="A40" s="1" t="s">
        <v>18</v>
      </c>
      <c r="B40" s="1" t="s">
        <v>19</v>
      </c>
      <c r="C40">
        <v>2014</v>
      </c>
      <c r="D40">
        <v>131979</v>
      </c>
      <c r="E40">
        <v>81937</v>
      </c>
      <c r="F40">
        <v>42842</v>
      </c>
      <c r="G40">
        <v>39433</v>
      </c>
      <c r="H40">
        <v>22743</v>
      </c>
      <c r="I40">
        <v>6888</v>
      </c>
      <c r="J40">
        <v>42504</v>
      </c>
      <c r="K40">
        <v>51.87</v>
      </c>
      <c r="L40">
        <v>0.48130000000000001</v>
      </c>
      <c r="M40">
        <v>0.53090000000000004</v>
      </c>
      <c r="N40">
        <v>8.4099999999999994E-2</v>
      </c>
    </row>
    <row r="41" spans="1:14" hidden="1" x14ac:dyDescent="0.2">
      <c r="A41" s="1" t="s">
        <v>18</v>
      </c>
      <c r="B41" s="1" t="s">
        <v>19</v>
      </c>
      <c r="C41">
        <v>2015</v>
      </c>
      <c r="D41">
        <v>135740</v>
      </c>
      <c r="E41">
        <v>85526</v>
      </c>
      <c r="F41">
        <v>45214</v>
      </c>
      <c r="G41">
        <v>40376</v>
      </c>
      <c r="H41">
        <v>24832</v>
      </c>
      <c r="I41">
        <v>8046</v>
      </c>
      <c r="J41">
        <v>45150</v>
      </c>
      <c r="K41">
        <v>52.79</v>
      </c>
      <c r="L41">
        <v>0.47210000000000002</v>
      </c>
      <c r="M41">
        <v>0.54920000000000002</v>
      </c>
      <c r="N41">
        <v>9.4100000000000003E-2</v>
      </c>
    </row>
    <row r="42" spans="1:14" hidden="1" x14ac:dyDescent="0.2">
      <c r="A42" s="1" t="s">
        <v>18</v>
      </c>
      <c r="B42" s="1" t="s">
        <v>19</v>
      </c>
      <c r="C42">
        <v>2016</v>
      </c>
      <c r="D42">
        <v>149063</v>
      </c>
      <c r="E42">
        <v>92785</v>
      </c>
      <c r="F42">
        <v>48564</v>
      </c>
      <c r="G42">
        <v>44178</v>
      </c>
      <c r="H42">
        <v>26466</v>
      </c>
      <c r="I42">
        <v>8671</v>
      </c>
      <c r="J42">
        <v>48607</v>
      </c>
      <c r="K42">
        <v>52.39</v>
      </c>
      <c r="L42">
        <v>0.47610000000000002</v>
      </c>
      <c r="M42">
        <v>0.54500000000000004</v>
      </c>
      <c r="N42">
        <v>9.35E-2</v>
      </c>
    </row>
    <row r="43" spans="1:14" hidden="1" x14ac:dyDescent="0.2">
      <c r="A43" s="1" t="s">
        <v>18</v>
      </c>
      <c r="B43" s="1" t="s">
        <v>19</v>
      </c>
      <c r="C43">
        <v>2017</v>
      </c>
      <c r="D43">
        <v>152847</v>
      </c>
      <c r="E43">
        <v>98401</v>
      </c>
      <c r="F43">
        <v>50941</v>
      </c>
      <c r="G43">
        <v>47638</v>
      </c>
      <c r="H43">
        <v>28769</v>
      </c>
      <c r="I43">
        <v>8357</v>
      </c>
      <c r="J43">
        <v>50763</v>
      </c>
      <c r="K43">
        <v>51.59</v>
      </c>
      <c r="L43">
        <v>0.48409999999999997</v>
      </c>
      <c r="M43">
        <v>0.56479999999999997</v>
      </c>
      <c r="N43">
        <v>8.4900000000000003E-2</v>
      </c>
    </row>
    <row r="44" spans="1:14" hidden="1" x14ac:dyDescent="0.2">
      <c r="A44" s="1" t="s">
        <v>18</v>
      </c>
      <c r="B44" s="1" t="s">
        <v>19</v>
      </c>
      <c r="C44">
        <v>2018</v>
      </c>
      <c r="D44">
        <v>156202</v>
      </c>
      <c r="E44">
        <v>102624</v>
      </c>
      <c r="F44">
        <v>53719</v>
      </c>
      <c r="G44">
        <v>49142</v>
      </c>
      <c r="H44">
        <v>29705</v>
      </c>
      <c r="I44">
        <v>8709</v>
      </c>
      <c r="J44">
        <v>53482</v>
      </c>
      <c r="K44">
        <v>52.11</v>
      </c>
      <c r="L44">
        <v>0.47889999999999999</v>
      </c>
      <c r="M44">
        <v>0.55300000000000005</v>
      </c>
      <c r="N44">
        <v>8.4900000000000003E-2</v>
      </c>
    </row>
    <row r="45" spans="1:14" x14ac:dyDescent="0.2">
      <c r="A45" s="1" t="s">
        <v>18</v>
      </c>
      <c r="B45" s="1" t="s">
        <v>19</v>
      </c>
      <c r="C45">
        <v>2019</v>
      </c>
      <c r="D45">
        <v>158563</v>
      </c>
      <c r="E45">
        <v>106723</v>
      </c>
      <c r="F45">
        <v>55220</v>
      </c>
      <c r="G45">
        <v>51457</v>
      </c>
      <c r="H45">
        <v>30839</v>
      </c>
      <c r="I45">
        <v>7530</v>
      </c>
      <c r="J45">
        <v>55266</v>
      </c>
      <c r="K45">
        <v>51.78</v>
      </c>
      <c r="L45">
        <v>0.48220000000000002</v>
      </c>
      <c r="M45">
        <v>0.5585</v>
      </c>
      <c r="N45">
        <v>7.0599999999999996E-2</v>
      </c>
    </row>
    <row r="46" spans="1:14" x14ac:dyDescent="0.2">
      <c r="A46" s="1" t="s">
        <v>18</v>
      </c>
      <c r="B46" s="1" t="s">
        <v>19</v>
      </c>
      <c r="C46">
        <v>2020</v>
      </c>
      <c r="D46">
        <v>163252</v>
      </c>
      <c r="E46">
        <v>69972</v>
      </c>
      <c r="F46">
        <v>35065</v>
      </c>
      <c r="G46">
        <v>34971</v>
      </c>
      <c r="H46">
        <v>25912</v>
      </c>
      <c r="I46">
        <v>7760</v>
      </c>
      <c r="J46">
        <v>35001</v>
      </c>
      <c r="K46">
        <v>50.02</v>
      </c>
      <c r="L46">
        <v>0.49980000000000002</v>
      </c>
      <c r="M46">
        <v>0.73899999999999999</v>
      </c>
      <c r="N46">
        <v>0.1109</v>
      </c>
    </row>
    <row r="47" spans="1:14" x14ac:dyDescent="0.2">
      <c r="A47" s="1" t="s">
        <v>18</v>
      </c>
      <c r="B47" s="1" t="s">
        <v>19</v>
      </c>
      <c r="C47">
        <v>2021</v>
      </c>
      <c r="D47">
        <v>173564</v>
      </c>
      <c r="E47">
        <v>93248</v>
      </c>
      <c r="F47">
        <v>49508</v>
      </c>
      <c r="G47">
        <v>45532</v>
      </c>
      <c r="H47">
        <v>30212</v>
      </c>
      <c r="I47">
        <v>6337</v>
      </c>
      <c r="J47">
        <v>47716</v>
      </c>
      <c r="K47">
        <v>51.17</v>
      </c>
      <c r="L47">
        <v>0.48830000000000001</v>
      </c>
      <c r="M47">
        <v>0.61019999999999996</v>
      </c>
      <c r="N47">
        <v>6.8000000000000005E-2</v>
      </c>
    </row>
    <row r="48" spans="1:14" x14ac:dyDescent="0.2">
      <c r="A48" s="1" t="s">
        <v>18</v>
      </c>
      <c r="B48" s="1" t="s">
        <v>19</v>
      </c>
      <c r="C48">
        <v>2022</v>
      </c>
      <c r="D48">
        <v>174690</v>
      </c>
      <c r="E48">
        <v>120537</v>
      </c>
      <c r="F48">
        <v>62959</v>
      </c>
      <c r="G48">
        <v>58886</v>
      </c>
      <c r="H48">
        <v>37474</v>
      </c>
      <c r="I48">
        <v>8495</v>
      </c>
      <c r="J48">
        <v>61651</v>
      </c>
      <c r="K48">
        <v>51.15</v>
      </c>
      <c r="L48">
        <v>0.48849999999999999</v>
      </c>
      <c r="M48">
        <v>0.59519999999999995</v>
      </c>
      <c r="N48">
        <v>7.0499999999999993E-2</v>
      </c>
    </row>
    <row r="49" spans="1:14" x14ac:dyDescent="0.2">
      <c r="A49" s="1" t="s">
        <v>18</v>
      </c>
      <c r="B49" s="1" t="s">
        <v>19</v>
      </c>
      <c r="C49">
        <v>2023</v>
      </c>
      <c r="D49">
        <v>173564</v>
      </c>
      <c r="E49">
        <v>131368</v>
      </c>
      <c r="F49">
        <v>66490</v>
      </c>
      <c r="G49">
        <v>65622</v>
      </c>
      <c r="H49">
        <v>42441</v>
      </c>
      <c r="I49">
        <v>8280</v>
      </c>
      <c r="J49">
        <v>65746</v>
      </c>
      <c r="K49">
        <v>50.05</v>
      </c>
      <c r="L49">
        <v>0.4995</v>
      </c>
      <c r="M49">
        <v>0.63829999999999998</v>
      </c>
      <c r="N49">
        <v>6.3E-2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9F4C-CC1D-E645-8D6D-1C16473D12C2}">
  <dimension ref="A1:H12"/>
  <sheetViews>
    <sheetView workbookViewId="0">
      <selection activeCell="D27" sqref="D27"/>
    </sheetView>
  </sheetViews>
  <sheetFormatPr baseColWidth="10" defaultRowHeight="16" x14ac:dyDescent="0.2"/>
  <cols>
    <col min="3" max="3" width="18" bestFit="1" customWidth="1"/>
    <col min="4" max="4" width="14.1640625" bestFit="1" customWidth="1"/>
  </cols>
  <sheetData>
    <row r="1" spans="1:8" ht="17" thickBot="1" x14ac:dyDescent="0.25">
      <c r="A1" s="22" t="s">
        <v>0</v>
      </c>
      <c r="B1" s="18" t="s">
        <v>2</v>
      </c>
      <c r="C1" s="16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7" t="s">
        <v>25</v>
      </c>
    </row>
    <row r="2" spans="1:8" x14ac:dyDescent="0.2">
      <c r="A2" s="23" t="s">
        <v>14</v>
      </c>
      <c r="B2" s="19">
        <v>2023</v>
      </c>
      <c r="C2" s="13">
        <v>367977</v>
      </c>
      <c r="D2" s="12">
        <v>38.21</v>
      </c>
      <c r="E2" s="12">
        <v>0.6179</v>
      </c>
      <c r="F2" s="12">
        <v>3.8800000000000001E-2</v>
      </c>
      <c r="G2" s="12">
        <v>0.4743</v>
      </c>
      <c r="H2" s="14" t="s">
        <v>26</v>
      </c>
    </row>
    <row r="3" spans="1:8" x14ac:dyDescent="0.2">
      <c r="A3" s="24" t="s">
        <v>16</v>
      </c>
      <c r="B3" s="20">
        <v>2023</v>
      </c>
      <c r="C3" s="4">
        <v>508685</v>
      </c>
      <c r="D3" s="3">
        <v>21.2</v>
      </c>
      <c r="E3" s="3">
        <v>0.78800000000000003</v>
      </c>
      <c r="F3" s="3">
        <v>2.6499999999999999E-2</v>
      </c>
      <c r="G3" s="3">
        <v>0.52310000000000001</v>
      </c>
      <c r="H3" s="6" t="s">
        <v>27</v>
      </c>
    </row>
    <row r="4" spans="1:8" ht="17" thickBot="1" x14ac:dyDescent="0.25">
      <c r="A4" s="25" t="s">
        <v>18</v>
      </c>
      <c r="B4" s="21">
        <v>2023</v>
      </c>
      <c r="C4" s="9">
        <v>131368</v>
      </c>
      <c r="D4" s="8">
        <v>50.05</v>
      </c>
      <c r="E4" s="8">
        <v>0.4995</v>
      </c>
      <c r="F4" s="8">
        <v>6.3E-2</v>
      </c>
      <c r="G4" s="8">
        <v>0.63290000000000002</v>
      </c>
      <c r="H4" s="10" t="s">
        <v>27</v>
      </c>
    </row>
    <row r="6" spans="1:8" x14ac:dyDescent="0.2">
      <c r="A6" t="s">
        <v>28</v>
      </c>
    </row>
    <row r="8" spans="1:8" x14ac:dyDescent="0.2">
      <c r="A8" s="2" t="s">
        <v>29</v>
      </c>
    </row>
    <row r="10" spans="1:8" x14ac:dyDescent="0.2">
      <c r="A10" s="2" t="s">
        <v>30</v>
      </c>
    </row>
    <row r="12" spans="1:8" x14ac:dyDescent="0.2">
      <c r="A12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65E2-2B20-B84B-BD01-AC6B630E7AF5}">
  <dimension ref="A1:D17"/>
  <sheetViews>
    <sheetView showGridLines="0" workbookViewId="0">
      <selection activeCell="E31" sqref="E31"/>
    </sheetView>
  </sheetViews>
  <sheetFormatPr baseColWidth="10" defaultRowHeight="16" x14ac:dyDescent="0.2"/>
  <cols>
    <col min="2" max="4" width="19.83203125" bestFit="1" customWidth="1"/>
  </cols>
  <sheetData>
    <row r="1" spans="1:4" ht="17" thickBot="1" x14ac:dyDescent="0.25">
      <c r="A1" s="15" t="s">
        <v>2</v>
      </c>
      <c r="B1" s="16" t="s">
        <v>14</v>
      </c>
      <c r="C1" s="16" t="s">
        <v>16</v>
      </c>
      <c r="D1" s="17" t="s">
        <v>18</v>
      </c>
    </row>
    <row r="2" spans="1:4" x14ac:dyDescent="0.2">
      <c r="A2" s="11">
        <v>2008</v>
      </c>
      <c r="B2" s="12">
        <v>223399</v>
      </c>
      <c r="C2" s="12">
        <v>311745</v>
      </c>
      <c r="D2" s="14">
        <v>67674</v>
      </c>
    </row>
    <row r="3" spans="1:4" x14ac:dyDescent="0.2">
      <c r="A3" s="5">
        <v>2009</v>
      </c>
      <c r="B3" s="3">
        <v>186137</v>
      </c>
      <c r="C3" s="3">
        <v>319318</v>
      </c>
      <c r="D3" s="6">
        <v>66195</v>
      </c>
    </row>
    <row r="4" spans="1:4" x14ac:dyDescent="0.2">
      <c r="A4" s="5">
        <v>2010</v>
      </c>
      <c r="B4" s="3">
        <v>182093</v>
      </c>
      <c r="C4" s="3">
        <v>332131</v>
      </c>
      <c r="D4" s="6">
        <v>68346</v>
      </c>
    </row>
    <row r="5" spans="1:4" x14ac:dyDescent="0.2">
      <c r="A5" s="5">
        <v>2011</v>
      </c>
      <c r="B5" s="3">
        <v>189467</v>
      </c>
      <c r="C5" s="3">
        <v>342147</v>
      </c>
      <c r="D5" s="6">
        <v>72322</v>
      </c>
    </row>
    <row r="6" spans="1:4" x14ac:dyDescent="0.2">
      <c r="A6" s="5">
        <v>2012</v>
      </c>
      <c r="B6" s="3">
        <v>190413</v>
      </c>
      <c r="C6" s="3">
        <v>349327</v>
      </c>
      <c r="D6" s="6">
        <v>74355</v>
      </c>
    </row>
    <row r="7" spans="1:4" x14ac:dyDescent="0.2">
      <c r="A7" s="5">
        <v>2013</v>
      </c>
      <c r="B7" s="3">
        <v>198288</v>
      </c>
      <c r="C7" s="3">
        <v>359088</v>
      </c>
      <c r="D7" s="6">
        <v>77033</v>
      </c>
    </row>
    <row r="8" spans="1:4" x14ac:dyDescent="0.2">
      <c r="A8" s="5">
        <v>2014</v>
      </c>
      <c r="B8" s="3">
        <v>217699</v>
      </c>
      <c r="C8" s="3">
        <v>371522</v>
      </c>
      <c r="D8" s="6">
        <v>81937</v>
      </c>
    </row>
    <row r="9" spans="1:4" x14ac:dyDescent="0.2">
      <c r="A9" s="5">
        <v>2015</v>
      </c>
      <c r="B9" s="3">
        <v>239761</v>
      </c>
      <c r="C9" s="3">
        <v>375289</v>
      </c>
      <c r="D9" s="6">
        <v>85526</v>
      </c>
    </row>
    <row r="10" spans="1:4" x14ac:dyDescent="0.2">
      <c r="A10" s="5">
        <v>2016</v>
      </c>
      <c r="B10" s="3">
        <v>251908</v>
      </c>
      <c r="C10" s="3">
        <v>389106</v>
      </c>
      <c r="D10" s="6">
        <v>92785</v>
      </c>
    </row>
    <row r="11" spans="1:4" x14ac:dyDescent="0.2">
      <c r="A11" s="5">
        <v>2017</v>
      </c>
      <c r="B11" s="3">
        <v>269379</v>
      </c>
      <c r="C11" s="3">
        <v>404822</v>
      </c>
      <c r="D11" s="6">
        <v>98401</v>
      </c>
    </row>
    <row r="12" spans="1:4" x14ac:dyDescent="0.2">
      <c r="A12" s="5">
        <v>2018</v>
      </c>
      <c r="B12" s="3">
        <v>297166</v>
      </c>
      <c r="C12" s="3">
        <v>415408</v>
      </c>
      <c r="D12" s="6">
        <v>102624</v>
      </c>
    </row>
    <row r="13" spans="1:4" x14ac:dyDescent="0.2">
      <c r="A13" s="5">
        <v>2019</v>
      </c>
      <c r="B13" s="3">
        <v>306865</v>
      </c>
      <c r="C13" s="3">
        <v>426731</v>
      </c>
      <c r="D13" s="6">
        <v>106723</v>
      </c>
    </row>
    <row r="14" spans="1:4" x14ac:dyDescent="0.2">
      <c r="A14" s="5">
        <v>2020</v>
      </c>
      <c r="B14" s="3">
        <v>270561</v>
      </c>
      <c r="C14" s="3">
        <v>416604</v>
      </c>
      <c r="D14" s="6">
        <v>69972</v>
      </c>
    </row>
    <row r="15" spans="1:4" x14ac:dyDescent="0.2">
      <c r="A15" s="5">
        <v>2021</v>
      </c>
      <c r="B15" s="3">
        <v>309095</v>
      </c>
      <c r="C15" s="3">
        <v>457637</v>
      </c>
      <c r="D15" s="6">
        <v>93248</v>
      </c>
    </row>
    <row r="16" spans="1:4" x14ac:dyDescent="0.2">
      <c r="A16" s="5">
        <v>2022</v>
      </c>
      <c r="B16" s="3">
        <v>348668</v>
      </c>
      <c r="C16" s="3">
        <v>492285</v>
      </c>
      <c r="D16" s="6">
        <v>120537</v>
      </c>
    </row>
    <row r="17" spans="1:4" ht="17" thickBot="1" x14ac:dyDescent="0.25">
      <c r="A17" s="7">
        <v>2023</v>
      </c>
      <c r="B17" s="8">
        <v>367977</v>
      </c>
      <c r="C17" s="8">
        <v>508685</v>
      </c>
      <c r="D17" s="10">
        <v>131368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111D-8265-A64F-A1C1-57A7BA597ECB}">
  <dimension ref="A1:J21"/>
  <sheetViews>
    <sheetView showGridLines="0" tabSelected="1" workbookViewId="0">
      <selection activeCell="J22" sqref="J22:J23"/>
    </sheetView>
  </sheetViews>
  <sheetFormatPr baseColWidth="10" defaultRowHeight="16" x14ac:dyDescent="0.2"/>
  <cols>
    <col min="1" max="1" width="14.1640625" bestFit="1" customWidth="1"/>
    <col min="3" max="3" width="14.1640625" bestFit="1" customWidth="1"/>
    <col min="9" max="9" width="17.6640625" customWidth="1"/>
    <col min="10" max="10" width="14.5" customWidth="1"/>
  </cols>
  <sheetData>
    <row r="1" spans="1:10" ht="17" thickBot="1" x14ac:dyDescent="0.25">
      <c r="A1" s="15" t="s">
        <v>0</v>
      </c>
      <c r="B1" s="16" t="s">
        <v>2</v>
      </c>
      <c r="C1" s="16" t="s">
        <v>21</v>
      </c>
      <c r="D1" s="16" t="s">
        <v>11</v>
      </c>
      <c r="E1" s="16" t="s">
        <v>13</v>
      </c>
      <c r="F1" s="16" t="s">
        <v>32</v>
      </c>
      <c r="G1" s="16" t="s">
        <v>33</v>
      </c>
      <c r="H1" s="16" t="s">
        <v>34</v>
      </c>
      <c r="I1" s="16" t="s">
        <v>35</v>
      </c>
      <c r="J1" s="17" t="s">
        <v>36</v>
      </c>
    </row>
    <row r="2" spans="1:10" x14ac:dyDescent="0.2">
      <c r="A2" s="28" t="s">
        <v>14</v>
      </c>
      <c r="B2" s="12">
        <v>2019</v>
      </c>
      <c r="C2" s="12">
        <v>35.57</v>
      </c>
      <c r="D2" s="12">
        <v>0.64429999999999998</v>
      </c>
      <c r="E2" s="12">
        <v>4.5600000000000002E-2</v>
      </c>
      <c r="F2" s="12">
        <f>IF(C2&lt;25,1,0)</f>
        <v>0</v>
      </c>
      <c r="G2" s="12">
        <f>IF(D2&gt;0.75,1,0)</f>
        <v>0</v>
      </c>
      <c r="H2" s="12">
        <f>IF(E2&lt;0.03,1,0)</f>
        <v>0</v>
      </c>
      <c r="I2" s="12">
        <f>F2+G2+H2</f>
        <v>0</v>
      </c>
      <c r="J2" s="14" t="str">
        <f>IF(I2&gt;=2,"High",IF(I2=1,"Moderate","Low"))</f>
        <v>Low</v>
      </c>
    </row>
    <row r="3" spans="1:10" x14ac:dyDescent="0.2">
      <c r="A3" s="26" t="s">
        <v>14</v>
      </c>
      <c r="B3" s="3">
        <v>2020</v>
      </c>
      <c r="C3" s="3">
        <v>36.99</v>
      </c>
      <c r="D3" s="3">
        <v>0.63009999999999999</v>
      </c>
      <c r="E3" s="3">
        <v>4.3099999999999999E-2</v>
      </c>
      <c r="F3" s="3">
        <f t="shared" ref="F3:F16" si="0">IF(C3&lt;25,1,0)</f>
        <v>0</v>
      </c>
      <c r="G3" s="3">
        <f t="shared" ref="G3:G16" si="1">IF(D3&gt;0.75,1,0)</f>
        <v>0</v>
      </c>
      <c r="H3" s="3">
        <f t="shared" ref="H3:H16" si="2">IF(E3&lt;0.03,1,0)</f>
        <v>0</v>
      </c>
      <c r="I3" s="3">
        <f t="shared" ref="I3:I16" si="3">F3+G3+H3</f>
        <v>0</v>
      </c>
      <c r="J3" s="6" t="str">
        <f t="shared" ref="J3:J16" si="4">IF(I3&gt;=2,"High",IF(I3=1,"Moderate","Low"))</f>
        <v>Low</v>
      </c>
    </row>
    <row r="4" spans="1:10" x14ac:dyDescent="0.2">
      <c r="A4" s="26" t="s">
        <v>14</v>
      </c>
      <c r="B4" s="3">
        <v>2021</v>
      </c>
      <c r="C4" s="3">
        <v>37.630000000000003</v>
      </c>
      <c r="D4" s="3">
        <v>0.62370000000000003</v>
      </c>
      <c r="E4" s="3">
        <v>4.2099999999999999E-2</v>
      </c>
      <c r="F4" s="3">
        <f t="shared" si="0"/>
        <v>0</v>
      </c>
      <c r="G4" s="3">
        <f t="shared" si="1"/>
        <v>0</v>
      </c>
      <c r="H4" s="3">
        <f t="shared" si="2"/>
        <v>0</v>
      </c>
      <c r="I4" s="3">
        <f t="shared" si="3"/>
        <v>0</v>
      </c>
      <c r="J4" s="6" t="str">
        <f t="shared" si="4"/>
        <v>Low</v>
      </c>
    </row>
    <row r="5" spans="1:10" x14ac:dyDescent="0.2">
      <c r="A5" s="26" t="s">
        <v>14</v>
      </c>
      <c r="B5" s="3">
        <v>2022</v>
      </c>
      <c r="C5" s="3">
        <v>37.78</v>
      </c>
      <c r="D5" s="3">
        <v>0.62219999999999998</v>
      </c>
      <c r="E5" s="3">
        <v>3.78E-2</v>
      </c>
      <c r="F5" s="3">
        <f t="shared" si="0"/>
        <v>0</v>
      </c>
      <c r="G5" s="3">
        <f t="shared" si="1"/>
        <v>0</v>
      </c>
      <c r="H5" s="3">
        <f t="shared" si="2"/>
        <v>0</v>
      </c>
      <c r="I5" s="3">
        <f t="shared" si="3"/>
        <v>0</v>
      </c>
      <c r="J5" s="6" t="str">
        <f t="shared" si="4"/>
        <v>Low</v>
      </c>
    </row>
    <row r="6" spans="1:10" x14ac:dyDescent="0.2">
      <c r="A6" s="26" t="s">
        <v>14</v>
      </c>
      <c r="B6" s="3">
        <v>2023</v>
      </c>
      <c r="C6" s="3">
        <v>38.21</v>
      </c>
      <c r="D6" s="3">
        <v>0.6179</v>
      </c>
      <c r="E6" s="3">
        <v>3.8800000000000001E-2</v>
      </c>
      <c r="F6" s="3">
        <f t="shared" si="0"/>
        <v>0</v>
      </c>
      <c r="G6" s="3">
        <f t="shared" si="1"/>
        <v>0</v>
      </c>
      <c r="H6" s="3">
        <f t="shared" si="2"/>
        <v>0</v>
      </c>
      <c r="I6" s="3">
        <f t="shared" si="3"/>
        <v>0</v>
      </c>
      <c r="J6" s="6" t="str">
        <f t="shared" si="4"/>
        <v>Low</v>
      </c>
    </row>
    <row r="7" spans="1:10" x14ac:dyDescent="0.2">
      <c r="A7" s="26" t="s">
        <v>16</v>
      </c>
      <c r="B7" s="3">
        <v>2019</v>
      </c>
      <c r="C7" s="3">
        <v>21.35</v>
      </c>
      <c r="D7" s="3">
        <v>0.78649999999999998</v>
      </c>
      <c r="E7" s="3">
        <v>2.81E-2</v>
      </c>
      <c r="F7" s="3">
        <f t="shared" si="0"/>
        <v>1</v>
      </c>
      <c r="G7" s="3">
        <f t="shared" si="1"/>
        <v>1</v>
      </c>
      <c r="H7" s="3">
        <f t="shared" si="2"/>
        <v>1</v>
      </c>
      <c r="I7" s="3">
        <f t="shared" si="3"/>
        <v>3</v>
      </c>
      <c r="J7" s="6" t="str">
        <f t="shared" si="4"/>
        <v>High</v>
      </c>
    </row>
    <row r="8" spans="1:10" x14ac:dyDescent="0.2">
      <c r="A8" s="26" t="s">
        <v>16</v>
      </c>
      <c r="B8" s="3">
        <v>2020</v>
      </c>
      <c r="C8" s="3">
        <v>21.51</v>
      </c>
      <c r="D8" s="3">
        <v>0.78490000000000004</v>
      </c>
      <c r="E8" s="3">
        <v>2.5700000000000001E-2</v>
      </c>
      <c r="F8" s="3">
        <f t="shared" si="0"/>
        <v>1</v>
      </c>
      <c r="G8" s="3">
        <f t="shared" si="1"/>
        <v>1</v>
      </c>
      <c r="H8" s="3">
        <f t="shared" si="2"/>
        <v>1</v>
      </c>
      <c r="I8" s="3">
        <f t="shared" si="3"/>
        <v>3</v>
      </c>
      <c r="J8" s="6" t="str">
        <f t="shared" si="4"/>
        <v>High</v>
      </c>
    </row>
    <row r="9" spans="1:10" x14ac:dyDescent="0.2">
      <c r="A9" s="26" t="s">
        <v>16</v>
      </c>
      <c r="B9" s="3">
        <v>2021</v>
      </c>
      <c r="C9" s="3">
        <v>21.95</v>
      </c>
      <c r="D9" s="3">
        <v>0.78049999999999997</v>
      </c>
      <c r="E9" s="3">
        <v>2.98E-2</v>
      </c>
      <c r="F9" s="3">
        <f t="shared" si="0"/>
        <v>1</v>
      </c>
      <c r="G9" s="3">
        <f t="shared" si="1"/>
        <v>1</v>
      </c>
      <c r="H9" s="3">
        <f t="shared" si="2"/>
        <v>1</v>
      </c>
      <c r="I9" s="3">
        <f t="shared" si="3"/>
        <v>3</v>
      </c>
      <c r="J9" s="6" t="str">
        <f t="shared" si="4"/>
        <v>High</v>
      </c>
    </row>
    <row r="10" spans="1:10" x14ac:dyDescent="0.2">
      <c r="A10" s="26" t="s">
        <v>16</v>
      </c>
      <c r="B10" s="3">
        <v>2022</v>
      </c>
      <c r="C10" s="3">
        <v>22.02</v>
      </c>
      <c r="D10" s="3">
        <v>0.77980000000000005</v>
      </c>
      <c r="E10" s="3">
        <v>2.9899999999999999E-2</v>
      </c>
      <c r="F10" s="3">
        <f t="shared" si="0"/>
        <v>1</v>
      </c>
      <c r="G10" s="3">
        <f t="shared" si="1"/>
        <v>1</v>
      </c>
      <c r="H10" s="3">
        <f t="shared" si="2"/>
        <v>1</v>
      </c>
      <c r="I10" s="3">
        <f t="shared" si="3"/>
        <v>3</v>
      </c>
      <c r="J10" s="6" t="str">
        <f t="shared" si="4"/>
        <v>High</v>
      </c>
    </row>
    <row r="11" spans="1:10" x14ac:dyDescent="0.2">
      <c r="A11" s="26" t="s">
        <v>16</v>
      </c>
      <c r="B11" s="3">
        <v>2023</v>
      </c>
      <c r="C11" s="3">
        <v>21.2</v>
      </c>
      <c r="D11" s="3">
        <v>0.78800000000000003</v>
      </c>
      <c r="E11" s="3">
        <v>2.6499999999999999E-2</v>
      </c>
      <c r="F11" s="3">
        <f t="shared" si="0"/>
        <v>1</v>
      </c>
      <c r="G11" s="3">
        <f t="shared" si="1"/>
        <v>1</v>
      </c>
      <c r="H11" s="3">
        <f t="shared" si="2"/>
        <v>1</v>
      </c>
      <c r="I11" s="3">
        <f t="shared" si="3"/>
        <v>3</v>
      </c>
      <c r="J11" s="6" t="str">
        <f t="shared" si="4"/>
        <v>High</v>
      </c>
    </row>
    <row r="12" spans="1:10" x14ac:dyDescent="0.2">
      <c r="A12" s="26" t="s">
        <v>18</v>
      </c>
      <c r="B12" s="3">
        <v>2019</v>
      </c>
      <c r="C12" s="3">
        <v>51.78</v>
      </c>
      <c r="D12" s="3">
        <v>0.48220000000000002</v>
      </c>
      <c r="E12" s="3">
        <v>7.0599999999999996E-2</v>
      </c>
      <c r="F12" s="3">
        <f t="shared" si="0"/>
        <v>0</v>
      </c>
      <c r="G12" s="3">
        <f t="shared" si="1"/>
        <v>0</v>
      </c>
      <c r="H12" s="3">
        <f t="shared" si="2"/>
        <v>0</v>
      </c>
      <c r="I12" s="3">
        <f t="shared" si="3"/>
        <v>0</v>
      </c>
      <c r="J12" s="6" t="str">
        <f t="shared" si="4"/>
        <v>Low</v>
      </c>
    </row>
    <row r="13" spans="1:10" x14ac:dyDescent="0.2">
      <c r="A13" s="26" t="s">
        <v>18</v>
      </c>
      <c r="B13" s="3">
        <v>2020</v>
      </c>
      <c r="C13" s="3">
        <v>50.02</v>
      </c>
      <c r="D13" s="3">
        <v>0.49980000000000002</v>
      </c>
      <c r="E13" s="3">
        <v>0.1109</v>
      </c>
      <c r="F13" s="3">
        <f t="shared" si="0"/>
        <v>0</v>
      </c>
      <c r="G13" s="3">
        <f t="shared" si="1"/>
        <v>0</v>
      </c>
      <c r="H13" s="3">
        <f t="shared" si="2"/>
        <v>0</v>
      </c>
      <c r="I13" s="3">
        <f t="shared" si="3"/>
        <v>0</v>
      </c>
      <c r="J13" s="6" t="str">
        <f t="shared" si="4"/>
        <v>Low</v>
      </c>
    </row>
    <row r="14" spans="1:10" x14ac:dyDescent="0.2">
      <c r="A14" s="26" t="s">
        <v>18</v>
      </c>
      <c r="B14" s="3">
        <v>2021</v>
      </c>
      <c r="C14" s="3">
        <v>51.17</v>
      </c>
      <c r="D14" s="3">
        <v>0.48830000000000001</v>
      </c>
      <c r="E14" s="3">
        <v>6.8000000000000005E-2</v>
      </c>
      <c r="F14" s="3">
        <f t="shared" si="0"/>
        <v>0</v>
      </c>
      <c r="G14" s="3">
        <f t="shared" si="1"/>
        <v>0</v>
      </c>
      <c r="H14" s="3">
        <f t="shared" si="2"/>
        <v>0</v>
      </c>
      <c r="I14" s="3">
        <f t="shared" si="3"/>
        <v>0</v>
      </c>
      <c r="J14" s="6" t="str">
        <f t="shared" si="4"/>
        <v>Low</v>
      </c>
    </row>
    <row r="15" spans="1:10" x14ac:dyDescent="0.2">
      <c r="A15" s="26" t="s">
        <v>18</v>
      </c>
      <c r="B15" s="3">
        <v>2022</v>
      </c>
      <c r="C15" s="3">
        <v>51.15</v>
      </c>
      <c r="D15" s="3">
        <v>0.48849999999999999</v>
      </c>
      <c r="E15" s="3">
        <v>7.0499999999999993E-2</v>
      </c>
      <c r="F15" s="3">
        <f t="shared" si="0"/>
        <v>0</v>
      </c>
      <c r="G15" s="3">
        <f t="shared" si="1"/>
        <v>0</v>
      </c>
      <c r="H15" s="3">
        <f t="shared" si="2"/>
        <v>0</v>
      </c>
      <c r="I15" s="3">
        <f t="shared" si="3"/>
        <v>0</v>
      </c>
      <c r="J15" s="6" t="str">
        <f t="shared" si="4"/>
        <v>Low</v>
      </c>
    </row>
    <row r="16" spans="1:10" ht="17" thickBot="1" x14ac:dyDescent="0.25">
      <c r="A16" s="27" t="s">
        <v>18</v>
      </c>
      <c r="B16" s="8">
        <v>2023</v>
      </c>
      <c r="C16" s="8">
        <v>50.05</v>
      </c>
      <c r="D16" s="8">
        <v>0.4995</v>
      </c>
      <c r="E16" s="8">
        <v>6.3E-2</v>
      </c>
      <c r="F16" s="8">
        <f t="shared" si="0"/>
        <v>0</v>
      </c>
      <c r="G16" s="8">
        <f t="shared" si="1"/>
        <v>0</v>
      </c>
      <c r="H16" s="8">
        <f t="shared" si="2"/>
        <v>0</v>
      </c>
      <c r="I16" s="8">
        <f t="shared" si="3"/>
        <v>0</v>
      </c>
      <c r="J16" s="10" t="str">
        <f t="shared" si="4"/>
        <v>Low</v>
      </c>
    </row>
    <row r="17" spans="1:4" ht="17" thickBot="1" x14ac:dyDescent="0.25"/>
    <row r="18" spans="1:4" ht="17" thickBot="1" x14ac:dyDescent="0.25">
      <c r="A18" s="15" t="s">
        <v>37</v>
      </c>
      <c r="B18" s="16" t="s">
        <v>14</v>
      </c>
      <c r="C18" s="16" t="s">
        <v>16</v>
      </c>
      <c r="D18" s="17" t="s">
        <v>18</v>
      </c>
    </row>
    <row r="19" spans="1:4" x14ac:dyDescent="0.2">
      <c r="A19" s="11" t="s">
        <v>21</v>
      </c>
      <c r="B19" s="12">
        <v>38.21</v>
      </c>
      <c r="C19" s="12">
        <v>21.2</v>
      </c>
      <c r="D19" s="14">
        <v>50.05</v>
      </c>
    </row>
    <row r="20" spans="1:4" x14ac:dyDescent="0.2">
      <c r="A20" s="5" t="s">
        <v>22</v>
      </c>
      <c r="B20" s="3">
        <v>0.6179</v>
      </c>
      <c r="C20" s="3">
        <v>0.78800000000000003</v>
      </c>
      <c r="D20" s="6">
        <v>0.4995</v>
      </c>
    </row>
    <row r="21" spans="1:4" ht="17" thickBot="1" x14ac:dyDescent="0.25">
      <c r="A21" s="7" t="s">
        <v>23</v>
      </c>
      <c r="B21" s="8">
        <v>3.8800000000000001E-2</v>
      </c>
      <c r="C21" s="8">
        <v>2.6499999999999999E-2</v>
      </c>
      <c r="D21" s="10">
        <v>6.3E-2</v>
      </c>
    </row>
  </sheetData>
  <conditionalFormatting sqref="A1:J16">
    <cfRule type="containsText" dxfId="3" priority="3" operator="containsText" text="High">
      <formula>NOT(ISERROR(SEARCH("High",A1)))</formula>
    </cfRule>
    <cfRule type="containsText" dxfId="4" priority="2" operator="containsText" text="Moderate">
      <formula>NOT(ISERROR(SEARCH("Moderate",A1)))</formula>
    </cfRule>
    <cfRule type="containsText" dxfId="2" priority="1" operator="containsText" text="Low">
      <formula>NOT(ISERROR(SEARCH("Low",A1)))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5E9097-134C-1741-99F9-4FB247718C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Summary</vt:lpstr>
      <vt:lpstr>Trends</vt:lpstr>
      <vt:lpstr>Stress_Indicators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Anand</dc:creator>
  <cp:lastModifiedBy>Simran Anand</cp:lastModifiedBy>
  <dcterms:created xsi:type="dcterms:W3CDTF">2026-04-13T17:17:20Z</dcterms:created>
  <dcterms:modified xsi:type="dcterms:W3CDTF">2026-04-13T18:45:18Z</dcterms:modified>
</cp:coreProperties>
</file>